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nn\Desktop\Thesis\McGill\code\CB\CountryVariables\MissingExtra\Phillipines\"/>
    </mc:Choice>
  </mc:AlternateContent>
  <xr:revisionPtr revIDLastSave="0" documentId="13_ncr:1_{2019F63E-7465-4CD0-92D7-B47FA12CD43A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2B5CQPQ1" sheetId="2" r:id="rId1"/>
    <sheet name="Sheet1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D1" i="4"/>
  <c r="B1" i="4"/>
</calcChain>
</file>

<file path=xl/sharedStrings.xml><?xml version="1.0" encoding="utf-8"?>
<sst xmlns="http://schemas.openxmlformats.org/spreadsheetml/2006/main" count="249" uniqueCount="53">
  <si>
    <t>Quarterly Gross Domestic Product Series by Industry, Q1 1981 to Q1 2024</t>
  </si>
  <si>
    <t>At Constant 2018 Prices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</si>
  <si>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</si>
  <si>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</si>
  <si>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</si>
  <si>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</si>
  <si>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</si>
  <si>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</si>
  <si>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</si>
  <si>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</si>
  <si>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</si>
  <si>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</si>
  <si>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</si>
  <si>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</si>
  <si>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</si>
  <si>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</si>
  <si>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</si>
  <si>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</si>
  <si>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</si>
  <si>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</si>
  <si>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</si>
  <si>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</si>
  <si>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</si>
  <si>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</si>
  <si>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</si>
  <si>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</si>
  <si>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</si>
  <si>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Q1</t>
  </si>
  <si>
    <t>Q2</t>
  </si>
  <si>
    <t>Q3</t>
  </si>
  <si>
    <t>Q4</t>
  </si>
  <si>
    <t>Gross Domestic Product</t>
  </si>
  <si>
    <t>Latest update:</t>
  </si>
  <si>
    <t>20250403 10:00</t>
  </si>
  <si>
    <t>Source:</t>
  </si>
  <si>
    <t>Philippine Statistics Authority (PSA)</t>
  </si>
  <si>
    <t>Contact:</t>
  </si>
  <si>
    <t>Anthony B. Abalos</t>
  </si>
  <si>
    <t>Officer-in-Charge</t>
  </si>
  <si>
    <t>Expenditure and Integrated Accounts Division</t>
  </si>
  <si>
    <t>Philippine Statistics Authority</t>
  </si>
  <si>
    <t>21st Floor, PSA Headquarters, PSA Complex East Avenue, Diliman, Quezon City</t>
  </si>
  <si>
    <t>a.abalos@psa.gov.ph</t>
  </si>
  <si>
    <t>Units:</t>
  </si>
  <si>
    <t>In million Philippine Pesos</t>
  </si>
  <si>
    <t>Internal reference code:</t>
  </si>
  <si>
    <t>2B5CQPQ1</t>
  </si>
  <si>
    <t>RGDP</t>
  </si>
  <si>
    <t>quarter</t>
  </si>
  <si>
    <t>year</t>
  </si>
  <si>
    <t>quarter average</t>
  </si>
  <si>
    <t>seasonal index</t>
  </si>
  <si>
    <t>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</si>
</sst>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2" borderId="0" xfId="0" applyFont="1" applyFill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Sheet1!$C$2:$C$101</c:f>
              <c:numCache>
                <c:formatCode>General</c:formatCode>
                <c:ptCount val="100"/>
                <c:pt idx="0">
                  <c:v>1653296</c:v>
                </c:pt>
                <c:pt idx="1">
                  <c:v>1729789</c:v>
                </c:pt>
                <c:pt idx="2">
                  <c:v>1709413</c:v>
                </c:pt>
                <c:pt idx="3">
                  <c:v>1892885</c:v>
                </c:pt>
                <c:pt idx="4">
                  <c:v>1693209</c:v>
                </c:pt>
                <c:pt idx="5">
                  <c:v>1786322</c:v>
                </c:pt>
                <c:pt idx="6">
                  <c:v>1762583</c:v>
                </c:pt>
                <c:pt idx="7">
                  <c:v>1956269</c:v>
                </c:pt>
                <c:pt idx="8">
                  <c:v>1758847</c:v>
                </c:pt>
                <c:pt idx="9">
                  <c:v>1851705</c:v>
                </c:pt>
                <c:pt idx="10">
                  <c:v>1809767</c:v>
                </c:pt>
                <c:pt idx="11">
                  <c:v>2045575</c:v>
                </c:pt>
                <c:pt idx="12">
                  <c:v>1840079</c:v>
                </c:pt>
                <c:pt idx="13">
                  <c:v>1932976</c:v>
                </c:pt>
                <c:pt idx="14">
                  <c:v>1909701</c:v>
                </c:pt>
                <c:pt idx="15">
                  <c:v>2162922</c:v>
                </c:pt>
                <c:pt idx="16">
                  <c:v>1972128</c:v>
                </c:pt>
                <c:pt idx="17">
                  <c:v>2077812</c:v>
                </c:pt>
                <c:pt idx="18">
                  <c:v>2029119</c:v>
                </c:pt>
                <c:pt idx="19">
                  <c:v>2282020</c:v>
                </c:pt>
                <c:pt idx="20">
                  <c:v>2071140</c:v>
                </c:pt>
                <c:pt idx="21">
                  <c:v>2195369</c:v>
                </c:pt>
                <c:pt idx="22">
                  <c:v>2117985</c:v>
                </c:pt>
                <c:pt idx="23">
                  <c:v>2389831</c:v>
                </c:pt>
                <c:pt idx="24">
                  <c:v>2164381</c:v>
                </c:pt>
                <c:pt idx="25">
                  <c:v>2325314</c:v>
                </c:pt>
                <c:pt idx="26">
                  <c:v>2217593</c:v>
                </c:pt>
                <c:pt idx="27">
                  <c:v>2533516</c:v>
                </c:pt>
                <c:pt idx="28">
                  <c:v>2297797</c:v>
                </c:pt>
                <c:pt idx="29">
                  <c:v>2484417</c:v>
                </c:pt>
                <c:pt idx="30">
                  <c:v>2362773</c:v>
                </c:pt>
                <c:pt idx="31">
                  <c:v>2698252</c:v>
                </c:pt>
                <c:pt idx="32">
                  <c:v>2393607</c:v>
                </c:pt>
                <c:pt idx="33">
                  <c:v>2602999</c:v>
                </c:pt>
                <c:pt idx="34">
                  <c:v>2491196</c:v>
                </c:pt>
                <c:pt idx="35">
                  <c:v>2783075</c:v>
                </c:pt>
                <c:pt idx="36">
                  <c:v>2420350</c:v>
                </c:pt>
                <c:pt idx="37">
                  <c:v>2652251</c:v>
                </c:pt>
                <c:pt idx="38">
                  <c:v>2514311</c:v>
                </c:pt>
                <c:pt idx="39">
                  <c:v>2832721</c:v>
                </c:pt>
                <c:pt idx="40">
                  <c:v>2616891</c:v>
                </c:pt>
                <c:pt idx="41">
                  <c:v>2863767</c:v>
                </c:pt>
                <c:pt idx="42">
                  <c:v>2692052</c:v>
                </c:pt>
                <c:pt idx="43">
                  <c:v>3011152</c:v>
                </c:pt>
                <c:pt idx="44">
                  <c:v>2743209</c:v>
                </c:pt>
                <c:pt idx="45">
                  <c:v>2965726</c:v>
                </c:pt>
                <c:pt idx="46">
                  <c:v>2773776</c:v>
                </c:pt>
                <c:pt idx="47">
                  <c:v>3132649</c:v>
                </c:pt>
                <c:pt idx="48">
                  <c:v>2908899</c:v>
                </c:pt>
                <c:pt idx="49">
                  <c:v>3150174</c:v>
                </c:pt>
                <c:pt idx="50">
                  <c:v>2979022</c:v>
                </c:pt>
                <c:pt idx="51">
                  <c:v>3378370</c:v>
                </c:pt>
                <c:pt idx="52">
                  <c:v>3129776</c:v>
                </c:pt>
                <c:pt idx="53">
                  <c:v>3386829</c:v>
                </c:pt>
                <c:pt idx="54">
                  <c:v>3178884</c:v>
                </c:pt>
                <c:pt idx="55">
                  <c:v>3559155</c:v>
                </c:pt>
                <c:pt idx="56">
                  <c:v>3308136</c:v>
                </c:pt>
                <c:pt idx="57">
                  <c:v>3621756</c:v>
                </c:pt>
                <c:pt idx="58">
                  <c:v>3367553</c:v>
                </c:pt>
                <c:pt idx="59">
                  <c:v>3798601</c:v>
                </c:pt>
                <c:pt idx="60">
                  <c:v>3481796</c:v>
                </c:pt>
                <c:pt idx="61">
                  <c:v>3853504</c:v>
                </c:pt>
                <c:pt idx="62">
                  <c:v>3589388</c:v>
                </c:pt>
                <c:pt idx="63">
                  <c:v>4066219</c:v>
                </c:pt>
                <c:pt idx="64">
                  <c:v>3722688</c:v>
                </c:pt>
                <c:pt idx="65">
                  <c:v>4140186</c:v>
                </c:pt>
                <c:pt idx="66">
                  <c:v>3852483</c:v>
                </c:pt>
                <c:pt idx="67">
                  <c:v>4347319</c:v>
                </c:pt>
                <c:pt idx="68">
                  <c:v>3959977</c:v>
                </c:pt>
                <c:pt idx="69">
                  <c:v>4437331</c:v>
                </c:pt>
                <c:pt idx="70">
                  <c:v>4142636</c:v>
                </c:pt>
                <c:pt idx="71">
                  <c:v>4636033</c:v>
                </c:pt>
                <c:pt idx="72">
                  <c:v>4215576</c:v>
                </c:pt>
                <c:pt idx="73">
                  <c:v>4720384</c:v>
                </c:pt>
                <c:pt idx="74">
                  <c:v>4397241</c:v>
                </c:pt>
                <c:pt idx="75">
                  <c:v>4931988</c:v>
                </c:pt>
                <c:pt idx="76">
                  <c:v>4463186</c:v>
                </c:pt>
                <c:pt idx="77">
                  <c:v>4985924</c:v>
                </c:pt>
                <c:pt idx="78">
                  <c:v>4675544</c:v>
                </c:pt>
                <c:pt idx="79">
                  <c:v>5258096</c:v>
                </c:pt>
                <c:pt idx="80">
                  <c:v>4433805</c:v>
                </c:pt>
                <c:pt idx="81">
                  <c:v>4142943</c:v>
                </c:pt>
                <c:pt idx="82">
                  <c:v>4135499</c:v>
                </c:pt>
                <c:pt idx="83">
                  <c:v>4825596</c:v>
                </c:pt>
                <c:pt idx="84">
                  <c:v>4266797</c:v>
                </c:pt>
                <c:pt idx="85">
                  <c:v>4641825</c:v>
                </c:pt>
                <c:pt idx="86">
                  <c:v>4426630</c:v>
                </c:pt>
                <c:pt idx="87">
                  <c:v>5204832</c:v>
                </c:pt>
                <c:pt idx="88">
                  <c:v>4611219</c:v>
                </c:pt>
                <c:pt idx="89">
                  <c:v>4990934</c:v>
                </c:pt>
                <c:pt idx="90">
                  <c:v>4767549</c:v>
                </c:pt>
                <c:pt idx="91">
                  <c:v>5575902</c:v>
                </c:pt>
                <c:pt idx="92">
                  <c:v>4907013</c:v>
                </c:pt>
                <c:pt idx="93">
                  <c:v>5203455</c:v>
                </c:pt>
                <c:pt idx="94">
                  <c:v>5051396</c:v>
                </c:pt>
                <c:pt idx="95">
                  <c:v>5884528</c:v>
                </c:pt>
                <c:pt idx="96">
                  <c:v>5195588</c:v>
                </c:pt>
                <c:pt idx="97">
                  <c:v>5539083</c:v>
                </c:pt>
                <c:pt idx="98">
                  <c:v>5316054</c:v>
                </c:pt>
                <c:pt idx="99">
                  <c:v>6193631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F-4845-AE0B-F512B3D2D31E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seasonally adjusted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Sheet1!$F$2:$F$101</c:f>
              <c:numCache>
                <c:formatCode>General</c:formatCode>
                <c:ptCount val="100"/>
                <c:pt idx="0">
                  <c:v>1765548.3931013651</c:v>
                </c:pt>
                <c:pt idx="1">
                  <c:v>1714562.2578636322</c:v>
                </c:pt>
                <c:pt idx="2">
                  <c:v>1779065.3181393475</c:v>
                </c:pt>
                <c:pt idx="3">
                  <c:v>1730480.1702490582</c:v>
                </c:pt>
                <c:pt idx="4">
                  <c:v>1808171.3311680239</c:v>
                </c:pt>
                <c:pt idx="5">
                  <c:v>1770597.6171610984</c:v>
                </c:pt>
                <c:pt idx="6">
                  <c:v>1834401.8008766784</c:v>
                </c:pt>
                <c:pt idx="7">
                  <c:v>1788425.9805392059</c:v>
                </c:pt>
                <c:pt idx="8">
                  <c:v>1878265.8970693429</c:v>
                </c:pt>
                <c:pt idx="9">
                  <c:v>1835405.0729293439</c:v>
                </c:pt>
                <c:pt idx="10">
                  <c:v>1883508.3760408354</c:v>
                </c:pt>
                <c:pt idx="11">
                  <c:v>1870069.7476377157</c:v>
                </c:pt>
                <c:pt idx="12">
                  <c:v>1965013.2351554511</c:v>
                </c:pt>
                <c:pt idx="13">
                  <c:v>1915960.6720566568</c:v>
                </c:pt>
                <c:pt idx="14">
                  <c:v>1987514.3204807907</c:v>
                </c:pt>
                <c:pt idx="15">
                  <c:v>1977348.6666096637</c:v>
                </c:pt>
                <c:pt idx="16">
                  <c:v>2106027.8506632862</c:v>
                </c:pt>
                <c:pt idx="17">
                  <c:v>2059521.7301856754</c:v>
                </c:pt>
                <c:pt idx="18">
                  <c:v>2111798.1665505026</c:v>
                </c:pt>
                <c:pt idx="19">
                  <c:v>2086228.3541323196</c:v>
                </c:pt>
                <c:pt idx="20">
                  <c:v>2211762.3818650506</c:v>
                </c:pt>
                <c:pt idx="21">
                  <c:v>2176043.9160405253</c:v>
                </c:pt>
                <c:pt idx="22">
                  <c:v>2204285.130532742</c:v>
                </c:pt>
                <c:pt idx="23">
                  <c:v>2184789.4382101805</c:v>
                </c:pt>
                <c:pt idx="24">
                  <c:v>2311334.0845251698</c:v>
                </c:pt>
                <c:pt idx="25">
                  <c:v>2304845.054559784</c:v>
                </c:pt>
                <c:pt idx="26">
                  <c:v>2307951.7916668411</c:v>
                </c:pt>
                <c:pt idx="27">
                  <c:v>2316146.6222241251</c:v>
                </c:pt>
                <c:pt idx="28">
                  <c:v>2453808.514036892</c:v>
                </c:pt>
                <c:pt idx="29">
                  <c:v>2462547.5251575722</c:v>
                </c:pt>
                <c:pt idx="30">
                  <c:v>2459047.3448698823</c:v>
                </c:pt>
                <c:pt idx="31">
                  <c:v>2466748.6827434641</c:v>
                </c:pt>
                <c:pt idx="32">
                  <c:v>2556123.641844037</c:v>
                </c:pt>
                <c:pt idx="33">
                  <c:v>2580085.6882872861</c:v>
                </c:pt>
                <c:pt idx="34">
                  <c:v>2592703.1117041172</c:v>
                </c:pt>
                <c:pt idx="35">
                  <c:v>2544294.0801030691</c:v>
                </c:pt>
                <c:pt idx="36">
                  <c:v>2584682.3879347006</c:v>
                </c:pt>
                <c:pt idx="37">
                  <c:v>2628904.1397425216</c:v>
                </c:pt>
                <c:pt idx="38">
                  <c:v>2616759.963283455</c:v>
                </c:pt>
                <c:pt idx="39">
                  <c:v>2589680.5766584249</c:v>
                </c:pt>
                <c:pt idx="40">
                  <c:v>2794567.7603837573</c:v>
                </c:pt>
                <c:pt idx="41">
                  <c:v>2838558.2365914918</c:v>
                </c:pt>
                <c:pt idx="42">
                  <c:v>2801743.2579649659</c:v>
                </c:pt>
                <c:pt idx="43">
                  <c:v>2752802.6402057135</c:v>
                </c:pt>
                <c:pt idx="44">
                  <c:v>2929462.2631949768</c:v>
                </c:pt>
                <c:pt idx="45">
                  <c:v>2939619.7263162606</c:v>
                </c:pt>
                <c:pt idx="46">
                  <c:v>2886797.2116084802</c:v>
                </c:pt>
                <c:pt idx="47">
                  <c:v>2863875.4994891617</c:v>
                </c:pt>
                <c:pt idx="48">
                  <c:v>3106401.9722688301</c:v>
                </c:pt>
                <c:pt idx="49">
                  <c:v>3122444.0935300835</c:v>
                </c:pt>
                <c:pt idx="50">
                  <c:v>3100406.2342886799</c:v>
                </c:pt>
                <c:pt idx="51">
                  <c:v>3088514.2482318319</c:v>
                </c:pt>
                <c:pt idx="52">
                  <c:v>3342275.664833894</c:v>
                </c:pt>
                <c:pt idx="53">
                  <c:v>3357015.9003427746</c:v>
                </c:pt>
                <c:pt idx="54">
                  <c:v>3308411.8786905687</c:v>
                </c:pt>
                <c:pt idx="55">
                  <c:v>3253788.3444281016</c:v>
                </c:pt>
                <c:pt idx="56">
                  <c:v>3532745.6178208725</c:v>
                </c:pt>
                <c:pt idx="57">
                  <c:v>3589874.9181496454</c:v>
                </c:pt>
                <c:pt idx="58">
                  <c:v>3504768.4493426187</c:v>
                </c:pt>
                <c:pt idx="59">
                  <c:v>3472690.4725792864</c:v>
                </c:pt>
                <c:pt idx="60">
                  <c:v>3718196.459016873</c:v>
                </c:pt>
                <c:pt idx="61">
                  <c:v>3819582.9196084249</c:v>
                </c:pt>
                <c:pt idx="62">
                  <c:v>3735642.4130070126</c:v>
                </c:pt>
                <c:pt idx="63">
                  <c:v>3717347.5131294057</c:v>
                </c:pt>
                <c:pt idx="64">
                  <c:v>3975444.0925386222</c:v>
                </c:pt>
                <c:pt idx="65">
                  <c:v>4103741.3558158828</c:v>
                </c:pt>
                <c:pt idx="66">
                  <c:v>4009457.5705352817</c:v>
                </c:pt>
                <c:pt idx="67">
                  <c:v>3974329.8315782342</c:v>
                </c:pt>
                <c:pt idx="68">
                  <c:v>4228844.0963193309</c:v>
                </c:pt>
                <c:pt idx="69">
                  <c:v>4398270.6898056865</c:v>
                </c:pt>
                <c:pt idx="70">
                  <c:v>4311433.2424496096</c:v>
                </c:pt>
                <c:pt idx="71">
                  <c:v>4238272.8877455592</c:v>
                </c:pt>
                <c:pt idx="72">
                  <c:v>4501797.2781623378</c:v>
                </c:pt>
                <c:pt idx="73">
                  <c:v>4678832.0708614541</c:v>
                </c:pt>
                <c:pt idx="74">
                  <c:v>4576412.4635769017</c:v>
                </c:pt>
                <c:pt idx="75">
                  <c:v>4508835.6841045879</c:v>
                </c:pt>
                <c:pt idx="76">
                  <c:v>4766219.0378568079</c:v>
                </c:pt>
                <c:pt idx="77">
                  <c:v>4942034.6128784912</c:v>
                </c:pt>
                <c:pt idx="78">
                  <c:v>4866055.2913979925</c:v>
                </c:pt>
                <c:pt idx="79">
                  <c:v>4806964.4279847387</c:v>
                </c:pt>
                <c:pt idx="80">
                  <c:v>4734843.1817864422</c:v>
                </c:pt>
                <c:pt idx="81">
                  <c:v>4106474.0868859324</c:v>
                </c:pt>
                <c:pt idx="82">
                  <c:v>4304005.435842569</c:v>
                </c:pt>
                <c:pt idx="83">
                  <c:v>4411571.8533525141</c:v>
                </c:pt>
                <c:pt idx="84">
                  <c:v>4556495.9856188633</c:v>
                </c:pt>
                <c:pt idx="85">
                  <c:v>4600964.5989238312</c:v>
                </c:pt>
                <c:pt idx="86">
                  <c:v>4606998.9576744642</c:v>
                </c:pt>
                <c:pt idx="87">
                  <c:v>4758270.3468397427</c:v>
                </c:pt>
                <c:pt idx="88">
                  <c:v>4924302.9050384704</c:v>
                </c:pt>
                <c:pt idx="89">
                  <c:v>4947000.5115585597</c:v>
                </c:pt>
                <c:pt idx="90">
                  <c:v>4961809.1581320185</c:v>
                </c:pt>
                <c:pt idx="91">
                  <c:v>5097503.4628369203</c:v>
                </c:pt>
                <c:pt idx="92">
                  <c:v>5240180.1716555944</c:v>
                </c:pt>
                <c:pt idx="93">
                  <c:v>5157650.7617355678</c:v>
                </c:pt>
                <c:pt idx="94">
                  <c:v>5257221.8836453371</c:v>
                </c:pt>
                <c:pt idx="95">
                  <c:v>5379650.1188795678</c:v>
                </c:pt>
                <c:pt idx="96">
                  <c:v>5548348.2961410023</c:v>
                </c:pt>
                <c:pt idx="97">
                  <c:v>5490324.3430118132</c:v>
                </c:pt>
                <c:pt idx="98">
                  <c:v>5532663.7276983093</c:v>
                </c:pt>
                <c:pt idx="99">
                  <c:v>5662232.8495074157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F-4845-AE0B-F512B3D2D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217855"/>
        <c:axId val="675218815"/>
      </c:lineChart>
      <c:catAx>
        <c:axId val="67521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18815"/>
        <c:crosses val="autoZero"/>
        <c:auto val="1"/>
        <c:lblAlgn val="ctr"/>
        <c:lblOffset val="100"/>
        <c:noMultiLvlLbl val="0"/>
      </c:catAx>
      <c:valAx>
        <c:axId val="67521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1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273843</xdr:colOff>
      <xdr:row>8</xdr:row>
      <xdr:rowOff>9525</xdr:rowOff>
    </xdr:from>
    <xdr:to>
      <xdr:col>14</xdr:col>
      <xdr:colOff>311943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19291-3A85-C85E-0235-37808AFB1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AD1DC-CD87-4129-A120-FCD249140F4F}" name="Table1" displayName="Table1" ref="A1:F101" totalsRowShown="0">
  <autoFilter ref="A1:F101" xr:uid="{274AD1DC-CD87-4129-A120-FCD249140F4F}"/>
  <tableColumns count="6">
    <tableColumn id="1" xr3:uid="{B986E37C-3C76-4579-9FD1-3E9823FC546C}" name="year"/>
    <tableColumn id="2" xr3:uid="{2C3CC8E7-F381-4602-87FF-4A008252C501}" name="quarter"/>
    <tableColumn id="3" xr3:uid="{AF16F69A-BAD4-4FAC-AC19-74527071511D}" name="RGDP"/>
    <tableColumn id="4" xr3:uid="{65A726C6-3E36-4117-A9DC-425588C34959}" name="quarter average"/>
    <tableColumn id="5" xr3:uid="{8520B2B9-A464-4237-AAAC-8C2E1CFCBD3A}" name="seasonal index" dataDxfId="1">
      <calculatedColumnFormula>Table1[[#This Row],[quarter average]]/Sheet2!$D$1</calculatedColumnFormula>
    </tableColumn>
    <tableColumn id="6" xr3:uid="{86CABB5E-A19D-48E1-946A-7BBB4F6CB44A}" name="seasonally adjusted" dataDxfId="0">
      <calculatedColumnFormula>Table1[[#This Row],[RGDP]]/Table1[[#This Row],[seasonal index]]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6"/>
  <sheetViews>
    <sheetView workbookViewId="0">
      <selection activeCell="CH6" sqref="CH6"/>
    </sheetView>
  </sheetViews>
  <sheetFormatPr defaultRowHeight="14.25" x14ac:dyDescent="0.45"/>
  <cols>
    <col min="1" max="1" width="40.73046875" customWidth="1"/>
    <col min="2" max="2" width="23.3984375" customWidth="1"/>
    <col min="3" max="101" width="10" customWidth="1"/>
  </cols>
  <sheetData>
    <row r="1" spans="1:101" ht="18" x14ac:dyDescent="0.55000000000000004">
      <c r="A1" s="1" t="s">
        <v>0</v>
      </c>
    </row>
    <row r="3" spans="1:101" x14ac:dyDescent="0.45">
      <c r="B3" s="2" t="s">
        <v>1</v>
      </c>
    </row>
    <row r="4" spans="1:101" x14ac:dyDescent="0.45">
      <c r="B4" s="2" t="s">
        <v>2</v>
      </c>
      <c r="F4" s="2" t="s">
        <v>3</v>
      </c>
      <c r="J4" s="2" t="s">
        <v>4</v>
      </c>
      <c r="N4" s="2" t="s">
        <v>5</v>
      </c>
      <c r="R4" s="2" t="s">
        <v>6</v>
      </c>
      <c r="V4" s="2" t="s">
        <v>7</v>
      </c>
      <c r="Z4" s="2" t="s">
        <v>8</v>
      </c>
      <c r="AD4" s="2" t="s">
        <v>9</v>
      </c>
      <c r="AH4" s="2" t="s">
        <v>10</v>
      </c>
      <c r="AL4" s="2" t="s">
        <v>11</v>
      </c>
      <c r="AP4" s="2" t="s">
        <v>12</v>
      </c>
      <c r="AT4" s="2" t="s">
        <v>13</v>
      </c>
      <c r="AX4" s="2" t="s">
        <v>14</v>
      </c>
      <c r="BB4" s="2" t="s">
        <v>15</v>
      </c>
      <c r="BF4" s="2" t="s">
        <v>16</v>
      </c>
      <c r="BJ4" s="2" t="s">
        <v>17</v>
      </c>
      <c r="BN4" s="2" t="s">
        <v>18</v>
      </c>
      <c r="BR4" s="2" t="s">
        <v>19</v>
      </c>
      <c r="BV4" s="2" t="s">
        <v>20</v>
      </c>
      <c r="BZ4" s="2" t="s">
        <v>21</v>
      </c>
      <c r="CD4" s="2" t="s">
        <v>22</v>
      </c>
      <c r="CH4" s="2" t="s">
        <v>23</v>
      </c>
      <c r="CL4" s="2" t="s">
        <v>24</v>
      </c>
      <c r="CP4" s="2" t="s">
        <v>25</v>
      </c>
      <c r="CT4" s="2" t="s">
        <v>26</v>
      </c>
    </row>
    <row r="5" spans="1:101" x14ac:dyDescent="0.45">
      <c r="B5" s="2" t="s">
        <v>27</v>
      </c>
      <c r="C5" s="2" t="s">
        <v>28</v>
      </c>
      <c r="D5" s="2" t="s">
        <v>29</v>
      </c>
      <c r="E5" s="2" t="s">
        <v>30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27</v>
      </c>
      <c r="O5" s="2" t="s">
        <v>28</v>
      </c>
      <c r="P5" s="2" t="s">
        <v>29</v>
      </c>
      <c r="Q5" s="2" t="s">
        <v>30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27</v>
      </c>
      <c r="W5" s="2" t="s">
        <v>28</v>
      </c>
      <c r="X5" s="2" t="s">
        <v>29</v>
      </c>
      <c r="Y5" s="2" t="s">
        <v>30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27</v>
      </c>
      <c r="AE5" s="2" t="s">
        <v>28</v>
      </c>
      <c r="AF5" s="2" t="s">
        <v>29</v>
      </c>
      <c r="AG5" s="2" t="s">
        <v>30</v>
      </c>
      <c r="AH5" s="2" t="s">
        <v>27</v>
      </c>
      <c r="AI5" s="2" t="s">
        <v>28</v>
      </c>
      <c r="AJ5" s="2" t="s">
        <v>29</v>
      </c>
      <c r="AK5" s="2" t="s">
        <v>30</v>
      </c>
      <c r="AL5" s="2" t="s">
        <v>27</v>
      </c>
      <c r="AM5" s="2" t="s">
        <v>28</v>
      </c>
      <c r="AN5" s="2" t="s">
        <v>29</v>
      </c>
      <c r="AO5" s="2" t="s">
        <v>30</v>
      </c>
      <c r="AP5" s="2" t="s">
        <v>27</v>
      </c>
      <c r="AQ5" s="2" t="s">
        <v>28</v>
      </c>
      <c r="AR5" s="2" t="s">
        <v>29</v>
      </c>
      <c r="AS5" s="2" t="s">
        <v>30</v>
      </c>
      <c r="AT5" s="2" t="s">
        <v>27</v>
      </c>
      <c r="AU5" s="2" t="s">
        <v>28</v>
      </c>
      <c r="AV5" s="2" t="s">
        <v>29</v>
      </c>
      <c r="AW5" s="2" t="s">
        <v>30</v>
      </c>
      <c r="AX5" s="2" t="s">
        <v>27</v>
      </c>
      <c r="AY5" s="2" t="s">
        <v>28</v>
      </c>
      <c r="AZ5" s="2" t="s">
        <v>29</v>
      </c>
      <c r="BA5" s="2" t="s">
        <v>30</v>
      </c>
      <c r="BB5" s="2" t="s">
        <v>27</v>
      </c>
      <c r="BC5" s="2" t="s">
        <v>28</v>
      </c>
      <c r="BD5" s="2" t="s">
        <v>29</v>
      </c>
      <c r="BE5" s="2" t="s">
        <v>30</v>
      </c>
      <c r="BF5" s="2" t="s">
        <v>27</v>
      </c>
      <c r="BG5" s="2" t="s">
        <v>28</v>
      </c>
      <c r="BH5" s="2" t="s">
        <v>29</v>
      </c>
      <c r="BI5" s="2" t="s">
        <v>30</v>
      </c>
      <c r="BJ5" s="2" t="s">
        <v>27</v>
      </c>
      <c r="BK5" s="2" t="s">
        <v>28</v>
      </c>
      <c r="BL5" s="2" t="s">
        <v>29</v>
      </c>
      <c r="BM5" s="2" t="s">
        <v>30</v>
      </c>
      <c r="BN5" s="2" t="s">
        <v>27</v>
      </c>
      <c r="BO5" s="2" t="s">
        <v>28</v>
      </c>
      <c r="BP5" s="2" t="s">
        <v>29</v>
      </c>
      <c r="BQ5" s="2" t="s">
        <v>30</v>
      </c>
      <c r="BR5" s="2" t="s">
        <v>27</v>
      </c>
      <c r="BS5" s="2" t="s">
        <v>28</v>
      </c>
      <c r="BT5" s="2" t="s">
        <v>29</v>
      </c>
      <c r="BU5" s="2" t="s">
        <v>30</v>
      </c>
      <c r="BV5" s="2" t="s">
        <v>27</v>
      </c>
      <c r="BW5" s="2" t="s">
        <v>28</v>
      </c>
      <c r="BX5" s="2" t="s">
        <v>29</v>
      </c>
      <c r="BY5" s="2" t="s">
        <v>30</v>
      </c>
      <c r="BZ5" s="2" t="s">
        <v>27</v>
      </c>
      <c r="CA5" s="2" t="s">
        <v>28</v>
      </c>
      <c r="CB5" s="2" t="s">
        <v>29</v>
      </c>
      <c r="CC5" s="2" t="s">
        <v>30</v>
      </c>
      <c r="CD5" s="2" t="s">
        <v>27</v>
      </c>
      <c r="CE5" s="2" t="s">
        <v>28</v>
      </c>
      <c r="CF5" s="2" t="s">
        <v>29</v>
      </c>
      <c r="CG5" s="2" t="s">
        <v>30</v>
      </c>
      <c r="CH5" s="2" t="s">
        <v>27</v>
      </c>
      <c r="CI5" s="2" t="s">
        <v>28</v>
      </c>
      <c r="CJ5" s="2" t="s">
        <v>29</v>
      </c>
      <c r="CK5" s="2" t="s">
        <v>30</v>
      </c>
      <c r="CL5" s="2" t="s">
        <v>27</v>
      </c>
      <c r="CM5" s="2" t="s">
        <v>28</v>
      </c>
      <c r="CN5" s="2" t="s">
        <v>29</v>
      </c>
      <c r="CO5" s="2" t="s">
        <v>30</v>
      </c>
      <c r="CP5" s="2" t="s">
        <v>27</v>
      </c>
      <c r="CQ5" s="2" t="s">
        <v>28</v>
      </c>
      <c r="CR5" s="2" t="s">
        <v>29</v>
      </c>
      <c r="CS5" s="2" t="s">
        <v>30</v>
      </c>
      <c r="CT5" s="2" t="s">
        <v>27</v>
      </c>
      <c r="CU5" s="2" t="s">
        <v>28</v>
      </c>
      <c r="CV5" s="2" t="s">
        <v>29</v>
      </c>
      <c r="CW5" s="2" t="s">
        <v>30</v>
      </c>
    </row>
    <row r="6" spans="1:101" x14ac:dyDescent="0.45">
      <c r="A6" s="2" t="s">
        <v>31</v>
      </c>
      <c r="B6" s="3">
        <v>1653296</v>
      </c>
      <c r="C6" s="3">
        <v>1729789</v>
      </c>
      <c r="D6" s="3">
        <v>1709413</v>
      </c>
      <c r="E6" s="3">
        <v>1892885</v>
      </c>
      <c r="F6" s="3">
        <v>1693209</v>
      </c>
      <c r="G6" s="3">
        <v>1786322</v>
      </c>
      <c r="H6" s="3">
        <v>1762583</v>
      </c>
      <c r="I6" s="3">
        <v>1956269</v>
      </c>
      <c r="J6" s="3">
        <v>1758847</v>
      </c>
      <c r="K6" s="3">
        <v>1851705</v>
      </c>
      <c r="L6" s="3">
        <v>1809767</v>
      </c>
      <c r="M6" s="3">
        <v>2045575</v>
      </c>
      <c r="N6" s="3">
        <v>1840079</v>
      </c>
      <c r="O6" s="3">
        <v>1932976</v>
      </c>
      <c r="P6" s="3">
        <v>1909701</v>
      </c>
      <c r="Q6" s="3">
        <v>2162922</v>
      </c>
      <c r="R6" s="3">
        <v>1972128</v>
      </c>
      <c r="S6" s="3">
        <v>2077812</v>
      </c>
      <c r="T6" s="3">
        <v>2029119</v>
      </c>
      <c r="U6" s="3">
        <v>2282020</v>
      </c>
      <c r="V6" s="3">
        <v>2071140</v>
      </c>
      <c r="W6" s="3">
        <v>2195369</v>
      </c>
      <c r="X6" s="3">
        <v>2117985</v>
      </c>
      <c r="Y6" s="3">
        <v>2389831</v>
      </c>
      <c r="Z6" s="3">
        <v>2164381</v>
      </c>
      <c r="AA6" s="3">
        <v>2325314</v>
      </c>
      <c r="AB6" s="3">
        <v>2217593</v>
      </c>
      <c r="AC6" s="3">
        <v>2533516</v>
      </c>
      <c r="AD6" s="3">
        <v>2297797</v>
      </c>
      <c r="AE6" s="3">
        <v>2484417</v>
      </c>
      <c r="AF6" s="3">
        <v>2362773</v>
      </c>
      <c r="AG6" s="3">
        <v>2698252</v>
      </c>
      <c r="AH6" s="3">
        <v>2393607</v>
      </c>
      <c r="AI6" s="3">
        <v>2602999</v>
      </c>
      <c r="AJ6" s="3">
        <v>2491196</v>
      </c>
      <c r="AK6" s="3">
        <v>2783075</v>
      </c>
      <c r="AL6" s="3">
        <v>2420350</v>
      </c>
      <c r="AM6" s="3">
        <v>2652251</v>
      </c>
      <c r="AN6" s="3">
        <v>2514311</v>
      </c>
      <c r="AO6" s="3">
        <v>2832721</v>
      </c>
      <c r="AP6" s="3">
        <v>2616891</v>
      </c>
      <c r="AQ6" s="3">
        <v>2863767</v>
      </c>
      <c r="AR6" s="3">
        <v>2692052</v>
      </c>
      <c r="AS6" s="3">
        <v>3011152</v>
      </c>
      <c r="AT6" s="3">
        <v>2743209</v>
      </c>
      <c r="AU6" s="3">
        <v>2965726</v>
      </c>
      <c r="AV6" s="3">
        <v>2773776</v>
      </c>
      <c r="AW6" s="3">
        <v>3132649</v>
      </c>
      <c r="AX6" s="3">
        <v>2908899</v>
      </c>
      <c r="AY6" s="3">
        <v>3150174</v>
      </c>
      <c r="AZ6" s="3">
        <v>2979022</v>
      </c>
      <c r="BA6" s="3">
        <v>3378370</v>
      </c>
      <c r="BB6" s="3">
        <v>3129776</v>
      </c>
      <c r="BC6" s="3">
        <v>3386829</v>
      </c>
      <c r="BD6" s="3">
        <v>3178884</v>
      </c>
      <c r="BE6" s="3">
        <v>3559155</v>
      </c>
      <c r="BF6" s="3">
        <v>3308136</v>
      </c>
      <c r="BG6" s="3">
        <v>3621756</v>
      </c>
      <c r="BH6" s="3">
        <v>3367553</v>
      </c>
      <c r="BI6" s="3">
        <v>3798601</v>
      </c>
      <c r="BJ6" s="3">
        <v>3481796</v>
      </c>
      <c r="BK6" s="3">
        <v>3853504</v>
      </c>
      <c r="BL6" s="3">
        <v>3589388</v>
      </c>
      <c r="BM6" s="3">
        <v>4066219</v>
      </c>
      <c r="BN6" s="3">
        <v>3722688</v>
      </c>
      <c r="BO6" s="3">
        <v>4140186</v>
      </c>
      <c r="BP6" s="3">
        <v>3852483</v>
      </c>
      <c r="BQ6" s="3">
        <v>4347319</v>
      </c>
      <c r="BR6" s="3">
        <v>3959977</v>
      </c>
      <c r="BS6" s="3">
        <v>4437331</v>
      </c>
      <c r="BT6" s="3">
        <v>4142636</v>
      </c>
      <c r="BU6" s="3">
        <v>4636033</v>
      </c>
      <c r="BV6" s="3">
        <v>4215576</v>
      </c>
      <c r="BW6" s="3">
        <v>4720384</v>
      </c>
      <c r="BX6" s="3">
        <v>4397241</v>
      </c>
      <c r="BY6" s="3">
        <v>4931988</v>
      </c>
      <c r="BZ6" s="3">
        <v>4463186</v>
      </c>
      <c r="CA6" s="3">
        <v>4985924</v>
      </c>
      <c r="CB6" s="3">
        <v>4675544</v>
      </c>
      <c r="CC6" s="3">
        <v>5258096</v>
      </c>
      <c r="CD6" s="3">
        <v>4433805</v>
      </c>
      <c r="CE6" s="3">
        <v>4142943</v>
      </c>
      <c r="CF6" s="3">
        <v>4135499</v>
      </c>
      <c r="CG6" s="3">
        <v>4825596</v>
      </c>
      <c r="CH6" s="3">
        <v>4266797</v>
      </c>
      <c r="CI6" s="3">
        <v>4641825</v>
      </c>
      <c r="CJ6" s="3">
        <v>4426630</v>
      </c>
      <c r="CK6" s="3">
        <v>5204832</v>
      </c>
      <c r="CL6" s="3">
        <v>4611219</v>
      </c>
      <c r="CM6" s="3">
        <v>4990934</v>
      </c>
      <c r="CN6" s="3">
        <v>4767549</v>
      </c>
      <c r="CO6" s="3">
        <v>5575902</v>
      </c>
      <c r="CP6" s="3">
        <v>4907013</v>
      </c>
      <c r="CQ6" s="3">
        <v>5203455</v>
      </c>
      <c r="CR6" s="3">
        <v>5051396</v>
      </c>
      <c r="CS6" s="3">
        <v>5884528</v>
      </c>
      <c r="CT6" s="3">
        <v>5195588</v>
      </c>
      <c r="CU6" s="3">
        <v>5539083</v>
      </c>
      <c r="CV6" s="3">
        <v>5316054</v>
      </c>
      <c r="CW6" s="3">
        <v>6193631</v>
      </c>
    </row>
    <row r="9" spans="1:101" x14ac:dyDescent="0.45">
      <c r="A9" t="s">
        <v>32</v>
      </c>
    </row>
    <row r="10" spans="1:101" x14ac:dyDescent="0.45">
      <c r="A10" t="s">
        <v>33</v>
      </c>
    </row>
    <row r="12" spans="1:101" x14ac:dyDescent="0.45">
      <c r="A12" t="s">
        <v>34</v>
      </c>
    </row>
    <row r="13" spans="1:101" x14ac:dyDescent="0.45">
      <c r="A13" t="s">
        <v>35</v>
      </c>
    </row>
    <row r="15" spans="1:101" x14ac:dyDescent="0.45">
      <c r="A15" t="s">
        <v>36</v>
      </c>
    </row>
    <row r="16" spans="1:101" x14ac:dyDescent="0.45">
      <c r="A16" t="s">
        <v>37</v>
      </c>
    </row>
    <row r="17" spans="1:1" x14ac:dyDescent="0.45">
      <c r="A17" t="s">
        <v>38</v>
      </c>
    </row>
    <row r="18" spans="1:1" x14ac:dyDescent="0.45">
      <c r="A18" t="s">
        <v>39</v>
      </c>
    </row>
    <row r="19" spans="1:1" x14ac:dyDescent="0.45">
      <c r="A19" t="s">
        <v>40</v>
      </c>
    </row>
    <row r="20" spans="1:1" x14ac:dyDescent="0.45">
      <c r="A20" t="s">
        <v>41</v>
      </c>
    </row>
    <row r="21" spans="1:1" x14ac:dyDescent="0.45">
      <c r="A21" t="s">
        <v>42</v>
      </c>
    </row>
    <row r="24" spans="1:1" x14ac:dyDescent="0.45">
      <c r="A24" t="s">
        <v>43</v>
      </c>
    </row>
    <row r="25" spans="1:1" x14ac:dyDescent="0.45">
      <c r="A25" t="s">
        <v>44</v>
      </c>
    </row>
    <row r="35" spans="1:1" x14ac:dyDescent="0.45">
      <c r="A35" t="s">
        <v>45</v>
      </c>
    </row>
    <row r="36" spans="1:1" x14ac:dyDescent="0.45">
      <c r="A36" t="s">
        <v>46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FD96-1F83-4BCD-BA95-06DC8C46291D}">
  <dimension ref="A1:F101"/>
  <sheetViews>
    <sheetView tabSelected="1" topLeftCell="A71" workbookViewId="0">
      <selection activeCell="J85" sqref="J85"/>
    </sheetView>
  </sheetViews>
  <sheetFormatPr defaultRowHeight="14.25" x14ac:dyDescent="0.45"/>
  <sheetData>
    <row r="1" spans="1:6" x14ac:dyDescent="0.45">
      <c r="A1" t="s">
        <v>49</v>
      </c>
      <c r="B1" t="s">
        <v>48</v>
      </c>
      <c r="C1" t="s">
        <v>47</v>
      </c>
      <c r="D1" t="s">
        <v>50</v>
      </c>
      <c r="E1" t="s">
        <v>51</v>
      </c>
      <c r="F1" t="s">
        <v>52</v>
      </c>
    </row>
    <row r="2" spans="1:6" x14ac:dyDescent="0.45">
      <c r="A2">
        <v>2000</v>
      </c>
      <c r="B2" t="s">
        <v>27</v>
      </c>
      <c r="C2">
        <v>1653296</v>
      </c>
      <c r="D2">
        <v>3129175.6</v>
      </c>
      <c r="E2">
        <f>Table1[[#This Row],[quarter average]]/Sheet2!$D$1</f>
        <v>0.93642066479742181</v>
      </c>
      <c r="F2">
        <f>Table1[[#This Row],[RGDP]]/Table1[[#This Row],[seasonal index]]</f>
        <v>1765548.3931013651</v>
      </c>
    </row>
    <row r="3" spans="1:6" x14ac:dyDescent="0.45">
      <c r="B3" t="s">
        <v>28</v>
      </c>
      <c r="C3">
        <v>1729789</v>
      </c>
      <c r="D3">
        <v>3371311</v>
      </c>
      <c r="E3">
        <f>Table1[[#This Row],[quarter average]]/Sheet2!$D$1</f>
        <v>1.0088808336160044</v>
      </c>
      <c r="F3">
        <f>Table1[[#This Row],[RGDP]]/Table1[[#This Row],[seasonal index]]</f>
        <v>1714562.2578636322</v>
      </c>
    </row>
    <row r="4" spans="1:6" x14ac:dyDescent="0.45">
      <c r="B4" t="s">
        <v>29</v>
      </c>
      <c r="C4">
        <v>1709413</v>
      </c>
      <c r="D4">
        <v>3210805.92</v>
      </c>
      <c r="E4">
        <f>Table1[[#This Row],[quarter average]]/Sheet2!$D$1</f>
        <v>0.96084892587744108</v>
      </c>
      <c r="F4">
        <f>Table1[[#This Row],[RGDP]]/Table1[[#This Row],[seasonal index]]</f>
        <v>1779065.3181393475</v>
      </c>
    </row>
    <row r="5" spans="1:6" x14ac:dyDescent="0.45">
      <c r="B5" t="s">
        <v>30</v>
      </c>
      <c r="C5">
        <v>1892885</v>
      </c>
      <c r="D5">
        <v>3655245.48</v>
      </c>
      <c r="E5">
        <f>Table1[[#This Row],[quarter average]]/Sheet2!$D$1</f>
        <v>1.0938495757091327</v>
      </c>
      <c r="F5">
        <f>Table1[[#This Row],[RGDP]]/Table1[[#This Row],[seasonal index]]</f>
        <v>1730480.1702490582</v>
      </c>
    </row>
    <row r="6" spans="1:6" x14ac:dyDescent="0.45">
      <c r="A6">
        <v>2001</v>
      </c>
      <c r="B6" t="s">
        <v>27</v>
      </c>
      <c r="C6">
        <v>1693209</v>
      </c>
      <c r="D6">
        <v>3129175.6</v>
      </c>
      <c r="E6">
        <f>Table1[[#This Row],[quarter average]]/Sheet2!$D$1</f>
        <v>0.93642066479742181</v>
      </c>
      <c r="F6">
        <f>Table1[[#This Row],[RGDP]]/Table1[[#This Row],[seasonal index]]</f>
        <v>1808171.3311680239</v>
      </c>
    </row>
    <row r="7" spans="1:6" x14ac:dyDescent="0.45">
      <c r="B7" t="s">
        <v>28</v>
      </c>
      <c r="C7">
        <v>1786322</v>
      </c>
      <c r="D7">
        <v>3371311</v>
      </c>
      <c r="E7">
        <f>Table1[[#This Row],[quarter average]]/Sheet2!$D$1</f>
        <v>1.0088808336160044</v>
      </c>
      <c r="F7">
        <f>Table1[[#This Row],[RGDP]]/Table1[[#This Row],[seasonal index]]</f>
        <v>1770597.6171610984</v>
      </c>
    </row>
    <row r="8" spans="1:6" x14ac:dyDescent="0.45">
      <c r="B8" t="s">
        <v>29</v>
      </c>
      <c r="C8">
        <v>1762583</v>
      </c>
      <c r="D8">
        <v>3210805.92</v>
      </c>
      <c r="E8">
        <f>Table1[[#This Row],[quarter average]]/Sheet2!$D$1</f>
        <v>0.96084892587744108</v>
      </c>
      <c r="F8">
        <f>Table1[[#This Row],[RGDP]]/Table1[[#This Row],[seasonal index]]</f>
        <v>1834401.8008766784</v>
      </c>
    </row>
    <row r="9" spans="1:6" x14ac:dyDescent="0.45">
      <c r="B9" t="s">
        <v>30</v>
      </c>
      <c r="C9">
        <v>1956269</v>
      </c>
      <c r="D9">
        <v>3655245.48</v>
      </c>
      <c r="E9">
        <f>Table1[[#This Row],[quarter average]]/Sheet2!$D$1</f>
        <v>1.0938495757091327</v>
      </c>
      <c r="F9">
        <f>Table1[[#This Row],[RGDP]]/Table1[[#This Row],[seasonal index]]</f>
        <v>1788425.9805392059</v>
      </c>
    </row>
    <row r="10" spans="1:6" x14ac:dyDescent="0.45">
      <c r="A10">
        <v>2002</v>
      </c>
      <c r="B10" t="s">
        <v>27</v>
      </c>
      <c r="C10">
        <v>1758847</v>
      </c>
      <c r="D10">
        <v>3129175.6</v>
      </c>
      <c r="E10">
        <f>Table1[[#This Row],[quarter average]]/Sheet2!$D$1</f>
        <v>0.93642066479742181</v>
      </c>
      <c r="F10">
        <f>Table1[[#This Row],[RGDP]]/Table1[[#This Row],[seasonal index]]</f>
        <v>1878265.8970693429</v>
      </c>
    </row>
    <row r="11" spans="1:6" x14ac:dyDescent="0.45">
      <c r="B11" t="s">
        <v>28</v>
      </c>
      <c r="C11">
        <v>1851705</v>
      </c>
      <c r="D11">
        <v>3371311</v>
      </c>
      <c r="E11">
        <f>Table1[[#This Row],[quarter average]]/Sheet2!$D$1</f>
        <v>1.0088808336160044</v>
      </c>
      <c r="F11">
        <f>Table1[[#This Row],[RGDP]]/Table1[[#This Row],[seasonal index]]</f>
        <v>1835405.0729293439</v>
      </c>
    </row>
    <row r="12" spans="1:6" x14ac:dyDescent="0.45">
      <c r="B12" t="s">
        <v>29</v>
      </c>
      <c r="C12">
        <v>1809767</v>
      </c>
      <c r="D12">
        <v>3210805.92</v>
      </c>
      <c r="E12">
        <f>Table1[[#This Row],[quarter average]]/Sheet2!$D$1</f>
        <v>0.96084892587744108</v>
      </c>
      <c r="F12">
        <f>Table1[[#This Row],[RGDP]]/Table1[[#This Row],[seasonal index]]</f>
        <v>1883508.3760408354</v>
      </c>
    </row>
    <row r="13" spans="1:6" x14ac:dyDescent="0.45">
      <c r="B13" t="s">
        <v>30</v>
      </c>
      <c r="C13">
        <v>2045575</v>
      </c>
      <c r="D13">
        <v>3655245.48</v>
      </c>
      <c r="E13">
        <f>Table1[[#This Row],[quarter average]]/Sheet2!$D$1</f>
        <v>1.0938495757091327</v>
      </c>
      <c r="F13">
        <f>Table1[[#This Row],[RGDP]]/Table1[[#This Row],[seasonal index]]</f>
        <v>1870069.7476377157</v>
      </c>
    </row>
    <row r="14" spans="1:6" x14ac:dyDescent="0.45">
      <c r="A14">
        <v>2003</v>
      </c>
      <c r="B14" t="s">
        <v>27</v>
      </c>
      <c r="C14">
        <v>1840079</v>
      </c>
      <c r="D14">
        <v>3129175.6</v>
      </c>
      <c r="E14">
        <f>Table1[[#This Row],[quarter average]]/Sheet2!$D$1</f>
        <v>0.93642066479742181</v>
      </c>
      <c r="F14">
        <f>Table1[[#This Row],[RGDP]]/Table1[[#This Row],[seasonal index]]</f>
        <v>1965013.2351554511</v>
      </c>
    </row>
    <row r="15" spans="1:6" x14ac:dyDescent="0.45">
      <c r="B15" t="s">
        <v>28</v>
      </c>
      <c r="C15">
        <v>1932976</v>
      </c>
      <c r="D15">
        <v>3371311</v>
      </c>
      <c r="E15">
        <f>Table1[[#This Row],[quarter average]]/Sheet2!$D$1</f>
        <v>1.0088808336160044</v>
      </c>
      <c r="F15">
        <f>Table1[[#This Row],[RGDP]]/Table1[[#This Row],[seasonal index]]</f>
        <v>1915960.6720566568</v>
      </c>
    </row>
    <row r="16" spans="1:6" x14ac:dyDescent="0.45">
      <c r="B16" t="s">
        <v>29</v>
      </c>
      <c r="C16">
        <v>1909701</v>
      </c>
      <c r="D16">
        <v>3210805.92</v>
      </c>
      <c r="E16">
        <f>Table1[[#This Row],[quarter average]]/Sheet2!$D$1</f>
        <v>0.96084892587744108</v>
      </c>
      <c r="F16">
        <f>Table1[[#This Row],[RGDP]]/Table1[[#This Row],[seasonal index]]</f>
        <v>1987514.3204807907</v>
      </c>
    </row>
    <row r="17" spans="1:6" x14ac:dyDescent="0.45">
      <c r="B17" t="s">
        <v>30</v>
      </c>
      <c r="C17">
        <v>2162922</v>
      </c>
      <c r="D17">
        <v>3655245.48</v>
      </c>
      <c r="E17">
        <f>Table1[[#This Row],[quarter average]]/Sheet2!$D$1</f>
        <v>1.0938495757091327</v>
      </c>
      <c r="F17">
        <f>Table1[[#This Row],[RGDP]]/Table1[[#This Row],[seasonal index]]</f>
        <v>1977348.6666096637</v>
      </c>
    </row>
    <row r="18" spans="1:6" x14ac:dyDescent="0.45">
      <c r="A18">
        <v>2004</v>
      </c>
      <c r="B18" t="s">
        <v>27</v>
      </c>
      <c r="C18">
        <v>1972128</v>
      </c>
      <c r="D18">
        <v>3129175.6</v>
      </c>
      <c r="E18">
        <f>Table1[[#This Row],[quarter average]]/Sheet2!$D$1</f>
        <v>0.93642066479742181</v>
      </c>
      <c r="F18">
        <f>Table1[[#This Row],[RGDP]]/Table1[[#This Row],[seasonal index]]</f>
        <v>2106027.8506632862</v>
      </c>
    </row>
    <row r="19" spans="1:6" x14ac:dyDescent="0.45">
      <c r="B19" t="s">
        <v>28</v>
      </c>
      <c r="C19">
        <v>2077812</v>
      </c>
      <c r="D19">
        <v>3371311</v>
      </c>
      <c r="E19">
        <f>Table1[[#This Row],[quarter average]]/Sheet2!$D$1</f>
        <v>1.0088808336160044</v>
      </c>
      <c r="F19">
        <f>Table1[[#This Row],[RGDP]]/Table1[[#This Row],[seasonal index]]</f>
        <v>2059521.7301856754</v>
      </c>
    </row>
    <row r="20" spans="1:6" x14ac:dyDescent="0.45">
      <c r="B20" t="s">
        <v>29</v>
      </c>
      <c r="C20">
        <v>2029119</v>
      </c>
      <c r="D20">
        <v>3210805.92</v>
      </c>
      <c r="E20">
        <f>Table1[[#This Row],[quarter average]]/Sheet2!$D$1</f>
        <v>0.96084892587744108</v>
      </c>
      <c r="F20">
        <f>Table1[[#This Row],[RGDP]]/Table1[[#This Row],[seasonal index]]</f>
        <v>2111798.1665505026</v>
      </c>
    </row>
    <row r="21" spans="1:6" x14ac:dyDescent="0.45">
      <c r="B21" t="s">
        <v>30</v>
      </c>
      <c r="C21">
        <v>2282020</v>
      </c>
      <c r="D21">
        <v>3655245.48</v>
      </c>
      <c r="E21">
        <f>Table1[[#This Row],[quarter average]]/Sheet2!$D$1</f>
        <v>1.0938495757091327</v>
      </c>
      <c r="F21">
        <f>Table1[[#This Row],[RGDP]]/Table1[[#This Row],[seasonal index]]</f>
        <v>2086228.3541323196</v>
      </c>
    </row>
    <row r="22" spans="1:6" x14ac:dyDescent="0.45">
      <c r="A22">
        <v>2005</v>
      </c>
      <c r="B22" t="s">
        <v>27</v>
      </c>
      <c r="C22">
        <v>2071140</v>
      </c>
      <c r="D22">
        <v>3129175.6</v>
      </c>
      <c r="E22">
        <f>Table1[[#This Row],[quarter average]]/Sheet2!$D$1</f>
        <v>0.93642066479742181</v>
      </c>
      <c r="F22">
        <f>Table1[[#This Row],[RGDP]]/Table1[[#This Row],[seasonal index]]</f>
        <v>2211762.3818650506</v>
      </c>
    </row>
    <row r="23" spans="1:6" x14ac:dyDescent="0.45">
      <c r="B23" t="s">
        <v>28</v>
      </c>
      <c r="C23">
        <v>2195369</v>
      </c>
      <c r="D23">
        <v>3371311</v>
      </c>
      <c r="E23">
        <f>Table1[[#This Row],[quarter average]]/Sheet2!$D$1</f>
        <v>1.0088808336160044</v>
      </c>
      <c r="F23">
        <f>Table1[[#This Row],[RGDP]]/Table1[[#This Row],[seasonal index]]</f>
        <v>2176043.9160405253</v>
      </c>
    </row>
    <row r="24" spans="1:6" x14ac:dyDescent="0.45">
      <c r="B24" t="s">
        <v>29</v>
      </c>
      <c r="C24">
        <v>2117985</v>
      </c>
      <c r="D24">
        <v>3210805.92</v>
      </c>
      <c r="E24">
        <f>Table1[[#This Row],[quarter average]]/Sheet2!$D$1</f>
        <v>0.96084892587744108</v>
      </c>
      <c r="F24">
        <f>Table1[[#This Row],[RGDP]]/Table1[[#This Row],[seasonal index]]</f>
        <v>2204285.130532742</v>
      </c>
    </row>
    <row r="25" spans="1:6" x14ac:dyDescent="0.45">
      <c r="B25" t="s">
        <v>30</v>
      </c>
      <c r="C25">
        <v>2389831</v>
      </c>
      <c r="D25">
        <v>3655245.48</v>
      </c>
      <c r="E25">
        <f>Table1[[#This Row],[quarter average]]/Sheet2!$D$1</f>
        <v>1.0938495757091327</v>
      </c>
      <c r="F25">
        <f>Table1[[#This Row],[RGDP]]/Table1[[#This Row],[seasonal index]]</f>
        <v>2184789.4382101805</v>
      </c>
    </row>
    <row r="26" spans="1:6" x14ac:dyDescent="0.45">
      <c r="A26">
        <v>2006</v>
      </c>
      <c r="B26" t="s">
        <v>27</v>
      </c>
      <c r="C26">
        <v>2164381</v>
      </c>
      <c r="D26">
        <v>3129175.6</v>
      </c>
      <c r="E26">
        <f>Table1[[#This Row],[quarter average]]/Sheet2!$D$1</f>
        <v>0.93642066479742181</v>
      </c>
      <c r="F26">
        <f>Table1[[#This Row],[RGDP]]/Table1[[#This Row],[seasonal index]]</f>
        <v>2311334.0845251698</v>
      </c>
    </row>
    <row r="27" spans="1:6" x14ac:dyDescent="0.45">
      <c r="B27" t="s">
        <v>28</v>
      </c>
      <c r="C27">
        <v>2325314</v>
      </c>
      <c r="D27">
        <v>3371311</v>
      </c>
      <c r="E27">
        <f>Table1[[#This Row],[quarter average]]/Sheet2!$D$1</f>
        <v>1.0088808336160044</v>
      </c>
      <c r="F27">
        <f>Table1[[#This Row],[RGDP]]/Table1[[#This Row],[seasonal index]]</f>
        <v>2304845.054559784</v>
      </c>
    </row>
    <row r="28" spans="1:6" x14ac:dyDescent="0.45">
      <c r="B28" t="s">
        <v>29</v>
      </c>
      <c r="C28">
        <v>2217593</v>
      </c>
      <c r="D28">
        <v>3210805.92</v>
      </c>
      <c r="E28">
        <f>Table1[[#This Row],[quarter average]]/Sheet2!$D$1</f>
        <v>0.96084892587744108</v>
      </c>
      <c r="F28">
        <f>Table1[[#This Row],[RGDP]]/Table1[[#This Row],[seasonal index]]</f>
        <v>2307951.7916668411</v>
      </c>
    </row>
    <row r="29" spans="1:6" x14ac:dyDescent="0.45">
      <c r="B29" t="s">
        <v>30</v>
      </c>
      <c r="C29">
        <v>2533516</v>
      </c>
      <c r="D29">
        <v>3655245.48</v>
      </c>
      <c r="E29">
        <f>Table1[[#This Row],[quarter average]]/Sheet2!$D$1</f>
        <v>1.0938495757091327</v>
      </c>
      <c r="F29">
        <f>Table1[[#This Row],[RGDP]]/Table1[[#This Row],[seasonal index]]</f>
        <v>2316146.6222241251</v>
      </c>
    </row>
    <row r="30" spans="1:6" x14ac:dyDescent="0.45">
      <c r="A30">
        <v>2007</v>
      </c>
      <c r="B30" t="s">
        <v>27</v>
      </c>
      <c r="C30">
        <v>2297797</v>
      </c>
      <c r="D30">
        <v>3129175.6</v>
      </c>
      <c r="E30">
        <f>Table1[[#This Row],[quarter average]]/Sheet2!$D$1</f>
        <v>0.93642066479742181</v>
      </c>
      <c r="F30">
        <f>Table1[[#This Row],[RGDP]]/Table1[[#This Row],[seasonal index]]</f>
        <v>2453808.514036892</v>
      </c>
    </row>
    <row r="31" spans="1:6" x14ac:dyDescent="0.45">
      <c r="B31" t="s">
        <v>28</v>
      </c>
      <c r="C31">
        <v>2484417</v>
      </c>
      <c r="D31">
        <v>3371311</v>
      </c>
      <c r="E31">
        <f>Table1[[#This Row],[quarter average]]/Sheet2!$D$1</f>
        <v>1.0088808336160044</v>
      </c>
      <c r="F31">
        <f>Table1[[#This Row],[RGDP]]/Table1[[#This Row],[seasonal index]]</f>
        <v>2462547.5251575722</v>
      </c>
    </row>
    <row r="32" spans="1:6" x14ac:dyDescent="0.45">
      <c r="B32" t="s">
        <v>29</v>
      </c>
      <c r="C32">
        <v>2362773</v>
      </c>
      <c r="D32">
        <v>3210805.92</v>
      </c>
      <c r="E32">
        <f>Table1[[#This Row],[quarter average]]/Sheet2!$D$1</f>
        <v>0.96084892587744108</v>
      </c>
      <c r="F32">
        <f>Table1[[#This Row],[RGDP]]/Table1[[#This Row],[seasonal index]]</f>
        <v>2459047.3448698823</v>
      </c>
    </row>
    <row r="33" spans="1:6" x14ac:dyDescent="0.45">
      <c r="B33" t="s">
        <v>30</v>
      </c>
      <c r="C33">
        <v>2698252</v>
      </c>
      <c r="D33">
        <v>3655245.48</v>
      </c>
      <c r="E33">
        <f>Table1[[#This Row],[quarter average]]/Sheet2!$D$1</f>
        <v>1.0938495757091327</v>
      </c>
      <c r="F33">
        <f>Table1[[#This Row],[RGDP]]/Table1[[#This Row],[seasonal index]]</f>
        <v>2466748.6827434641</v>
      </c>
    </row>
    <row r="34" spans="1:6" x14ac:dyDescent="0.45">
      <c r="A34">
        <v>2008</v>
      </c>
      <c r="B34" t="s">
        <v>27</v>
      </c>
      <c r="C34">
        <v>2393607</v>
      </c>
      <c r="D34">
        <v>3129175.6</v>
      </c>
      <c r="E34">
        <f>Table1[[#This Row],[quarter average]]/Sheet2!$D$1</f>
        <v>0.93642066479742181</v>
      </c>
      <c r="F34">
        <f>Table1[[#This Row],[RGDP]]/Table1[[#This Row],[seasonal index]]</f>
        <v>2556123.641844037</v>
      </c>
    </row>
    <row r="35" spans="1:6" x14ac:dyDescent="0.45">
      <c r="B35" t="s">
        <v>28</v>
      </c>
      <c r="C35">
        <v>2602999</v>
      </c>
      <c r="D35">
        <v>3371311</v>
      </c>
      <c r="E35">
        <f>Table1[[#This Row],[quarter average]]/Sheet2!$D$1</f>
        <v>1.0088808336160044</v>
      </c>
      <c r="F35">
        <f>Table1[[#This Row],[RGDP]]/Table1[[#This Row],[seasonal index]]</f>
        <v>2580085.6882872861</v>
      </c>
    </row>
    <row r="36" spans="1:6" x14ac:dyDescent="0.45">
      <c r="B36" t="s">
        <v>29</v>
      </c>
      <c r="C36">
        <v>2491196</v>
      </c>
      <c r="D36">
        <v>3210805.92</v>
      </c>
      <c r="E36">
        <f>Table1[[#This Row],[quarter average]]/Sheet2!$D$1</f>
        <v>0.96084892587744108</v>
      </c>
      <c r="F36">
        <f>Table1[[#This Row],[RGDP]]/Table1[[#This Row],[seasonal index]]</f>
        <v>2592703.1117041172</v>
      </c>
    </row>
    <row r="37" spans="1:6" x14ac:dyDescent="0.45">
      <c r="B37" t="s">
        <v>30</v>
      </c>
      <c r="C37">
        <v>2783075</v>
      </c>
      <c r="D37">
        <v>3655245.48</v>
      </c>
      <c r="E37">
        <f>Table1[[#This Row],[quarter average]]/Sheet2!$D$1</f>
        <v>1.0938495757091327</v>
      </c>
      <c r="F37">
        <f>Table1[[#This Row],[RGDP]]/Table1[[#This Row],[seasonal index]]</f>
        <v>2544294.0801030691</v>
      </c>
    </row>
    <row r="38" spans="1:6" x14ac:dyDescent="0.45">
      <c r="A38">
        <v>2009</v>
      </c>
      <c r="B38" t="s">
        <v>27</v>
      </c>
      <c r="C38">
        <v>2420350</v>
      </c>
      <c r="D38">
        <v>3129175.6</v>
      </c>
      <c r="E38">
        <f>Table1[[#This Row],[quarter average]]/Sheet2!$D$1</f>
        <v>0.93642066479742181</v>
      </c>
      <c r="F38">
        <f>Table1[[#This Row],[RGDP]]/Table1[[#This Row],[seasonal index]]</f>
        <v>2584682.3879347006</v>
      </c>
    </row>
    <row r="39" spans="1:6" x14ac:dyDescent="0.45">
      <c r="B39" t="s">
        <v>28</v>
      </c>
      <c r="C39">
        <v>2652251</v>
      </c>
      <c r="D39">
        <v>3371311</v>
      </c>
      <c r="E39">
        <f>Table1[[#This Row],[quarter average]]/Sheet2!$D$1</f>
        <v>1.0088808336160044</v>
      </c>
      <c r="F39">
        <f>Table1[[#This Row],[RGDP]]/Table1[[#This Row],[seasonal index]]</f>
        <v>2628904.1397425216</v>
      </c>
    </row>
    <row r="40" spans="1:6" x14ac:dyDescent="0.45">
      <c r="B40" t="s">
        <v>29</v>
      </c>
      <c r="C40">
        <v>2514311</v>
      </c>
      <c r="D40">
        <v>3210805.92</v>
      </c>
      <c r="E40">
        <f>Table1[[#This Row],[quarter average]]/Sheet2!$D$1</f>
        <v>0.96084892587744108</v>
      </c>
      <c r="F40">
        <f>Table1[[#This Row],[RGDP]]/Table1[[#This Row],[seasonal index]]</f>
        <v>2616759.963283455</v>
      </c>
    </row>
    <row r="41" spans="1:6" x14ac:dyDescent="0.45">
      <c r="B41" t="s">
        <v>30</v>
      </c>
      <c r="C41">
        <v>2832721</v>
      </c>
      <c r="D41">
        <v>3655245.48</v>
      </c>
      <c r="E41">
        <f>Table1[[#This Row],[quarter average]]/Sheet2!$D$1</f>
        <v>1.0938495757091327</v>
      </c>
      <c r="F41">
        <f>Table1[[#This Row],[RGDP]]/Table1[[#This Row],[seasonal index]]</f>
        <v>2589680.5766584249</v>
      </c>
    </row>
    <row r="42" spans="1:6" x14ac:dyDescent="0.45">
      <c r="A42">
        <v>2010</v>
      </c>
      <c r="B42" t="s">
        <v>27</v>
      </c>
      <c r="C42">
        <v>2616891</v>
      </c>
      <c r="D42">
        <v>3129175.6</v>
      </c>
      <c r="E42">
        <f>Table1[[#This Row],[quarter average]]/Sheet2!$D$1</f>
        <v>0.93642066479742181</v>
      </c>
      <c r="F42">
        <f>Table1[[#This Row],[RGDP]]/Table1[[#This Row],[seasonal index]]</f>
        <v>2794567.7603837573</v>
      </c>
    </row>
    <row r="43" spans="1:6" x14ac:dyDescent="0.45">
      <c r="B43" t="s">
        <v>28</v>
      </c>
      <c r="C43">
        <v>2863767</v>
      </c>
      <c r="D43">
        <v>3371311</v>
      </c>
      <c r="E43">
        <f>Table1[[#This Row],[quarter average]]/Sheet2!$D$1</f>
        <v>1.0088808336160044</v>
      </c>
      <c r="F43">
        <f>Table1[[#This Row],[RGDP]]/Table1[[#This Row],[seasonal index]]</f>
        <v>2838558.2365914918</v>
      </c>
    </row>
    <row r="44" spans="1:6" x14ac:dyDescent="0.45">
      <c r="B44" t="s">
        <v>29</v>
      </c>
      <c r="C44">
        <v>2692052</v>
      </c>
      <c r="D44">
        <v>3210805.92</v>
      </c>
      <c r="E44">
        <f>Table1[[#This Row],[quarter average]]/Sheet2!$D$1</f>
        <v>0.96084892587744108</v>
      </c>
      <c r="F44">
        <f>Table1[[#This Row],[RGDP]]/Table1[[#This Row],[seasonal index]]</f>
        <v>2801743.2579649659</v>
      </c>
    </row>
    <row r="45" spans="1:6" x14ac:dyDescent="0.45">
      <c r="B45" t="s">
        <v>30</v>
      </c>
      <c r="C45">
        <v>3011152</v>
      </c>
      <c r="D45">
        <v>3655245.48</v>
      </c>
      <c r="E45">
        <f>Table1[[#This Row],[quarter average]]/Sheet2!$D$1</f>
        <v>1.0938495757091327</v>
      </c>
      <c r="F45">
        <f>Table1[[#This Row],[RGDP]]/Table1[[#This Row],[seasonal index]]</f>
        <v>2752802.6402057135</v>
      </c>
    </row>
    <row r="46" spans="1:6" x14ac:dyDescent="0.45">
      <c r="A46">
        <v>2011</v>
      </c>
      <c r="B46" t="s">
        <v>27</v>
      </c>
      <c r="C46">
        <v>2743209</v>
      </c>
      <c r="D46">
        <v>3129175.6</v>
      </c>
      <c r="E46">
        <f>Table1[[#This Row],[quarter average]]/Sheet2!$D$1</f>
        <v>0.93642066479742181</v>
      </c>
      <c r="F46">
        <f>Table1[[#This Row],[RGDP]]/Table1[[#This Row],[seasonal index]]</f>
        <v>2929462.2631949768</v>
      </c>
    </row>
    <row r="47" spans="1:6" x14ac:dyDescent="0.45">
      <c r="B47" t="s">
        <v>28</v>
      </c>
      <c r="C47">
        <v>2965726</v>
      </c>
      <c r="D47">
        <v>3371311</v>
      </c>
      <c r="E47">
        <f>Table1[[#This Row],[quarter average]]/Sheet2!$D$1</f>
        <v>1.0088808336160044</v>
      </c>
      <c r="F47">
        <f>Table1[[#This Row],[RGDP]]/Table1[[#This Row],[seasonal index]]</f>
        <v>2939619.7263162606</v>
      </c>
    </row>
    <row r="48" spans="1:6" x14ac:dyDescent="0.45">
      <c r="B48" t="s">
        <v>29</v>
      </c>
      <c r="C48">
        <v>2773776</v>
      </c>
      <c r="D48">
        <v>3210805.92</v>
      </c>
      <c r="E48">
        <f>Table1[[#This Row],[quarter average]]/Sheet2!$D$1</f>
        <v>0.96084892587744108</v>
      </c>
      <c r="F48">
        <f>Table1[[#This Row],[RGDP]]/Table1[[#This Row],[seasonal index]]</f>
        <v>2886797.2116084802</v>
      </c>
    </row>
    <row r="49" spans="1:6" x14ac:dyDescent="0.45">
      <c r="B49" t="s">
        <v>30</v>
      </c>
      <c r="C49">
        <v>3132649</v>
      </c>
      <c r="D49">
        <v>3655245.48</v>
      </c>
      <c r="E49">
        <f>Table1[[#This Row],[quarter average]]/Sheet2!$D$1</f>
        <v>1.0938495757091327</v>
      </c>
      <c r="F49">
        <f>Table1[[#This Row],[RGDP]]/Table1[[#This Row],[seasonal index]]</f>
        <v>2863875.4994891617</v>
      </c>
    </row>
    <row r="50" spans="1:6" x14ac:dyDescent="0.45">
      <c r="A50">
        <v>2012</v>
      </c>
      <c r="B50" t="s">
        <v>27</v>
      </c>
      <c r="C50">
        <v>2908899</v>
      </c>
      <c r="D50">
        <v>3129175.6</v>
      </c>
      <c r="E50">
        <f>Table1[[#This Row],[quarter average]]/Sheet2!$D$1</f>
        <v>0.93642066479742181</v>
      </c>
      <c r="F50">
        <f>Table1[[#This Row],[RGDP]]/Table1[[#This Row],[seasonal index]]</f>
        <v>3106401.9722688301</v>
      </c>
    </row>
    <row r="51" spans="1:6" x14ac:dyDescent="0.45">
      <c r="B51" t="s">
        <v>28</v>
      </c>
      <c r="C51">
        <v>3150174</v>
      </c>
      <c r="D51">
        <v>3371311</v>
      </c>
      <c r="E51">
        <f>Table1[[#This Row],[quarter average]]/Sheet2!$D$1</f>
        <v>1.0088808336160044</v>
      </c>
      <c r="F51">
        <f>Table1[[#This Row],[RGDP]]/Table1[[#This Row],[seasonal index]]</f>
        <v>3122444.0935300835</v>
      </c>
    </row>
    <row r="52" spans="1:6" x14ac:dyDescent="0.45">
      <c r="B52" t="s">
        <v>29</v>
      </c>
      <c r="C52">
        <v>2979022</v>
      </c>
      <c r="D52">
        <v>3210805.92</v>
      </c>
      <c r="E52">
        <f>Table1[[#This Row],[quarter average]]/Sheet2!$D$1</f>
        <v>0.96084892587744108</v>
      </c>
      <c r="F52">
        <f>Table1[[#This Row],[RGDP]]/Table1[[#This Row],[seasonal index]]</f>
        <v>3100406.2342886799</v>
      </c>
    </row>
    <row r="53" spans="1:6" x14ac:dyDescent="0.45">
      <c r="B53" t="s">
        <v>30</v>
      </c>
      <c r="C53">
        <v>3378370</v>
      </c>
      <c r="D53">
        <v>3655245.48</v>
      </c>
      <c r="E53">
        <f>Table1[[#This Row],[quarter average]]/Sheet2!$D$1</f>
        <v>1.0938495757091327</v>
      </c>
      <c r="F53">
        <f>Table1[[#This Row],[RGDP]]/Table1[[#This Row],[seasonal index]]</f>
        <v>3088514.2482318319</v>
      </c>
    </row>
    <row r="54" spans="1:6" x14ac:dyDescent="0.45">
      <c r="A54">
        <v>2013</v>
      </c>
      <c r="B54" t="s">
        <v>27</v>
      </c>
      <c r="C54">
        <v>3129776</v>
      </c>
      <c r="D54">
        <v>3129175.6</v>
      </c>
      <c r="E54">
        <f>Table1[[#This Row],[quarter average]]/Sheet2!$D$1</f>
        <v>0.93642066479742181</v>
      </c>
      <c r="F54">
        <f>Table1[[#This Row],[RGDP]]/Table1[[#This Row],[seasonal index]]</f>
        <v>3342275.664833894</v>
      </c>
    </row>
    <row r="55" spans="1:6" x14ac:dyDescent="0.45">
      <c r="B55" t="s">
        <v>28</v>
      </c>
      <c r="C55">
        <v>3386829</v>
      </c>
      <c r="D55">
        <v>3371311</v>
      </c>
      <c r="E55">
        <f>Table1[[#This Row],[quarter average]]/Sheet2!$D$1</f>
        <v>1.0088808336160044</v>
      </c>
      <c r="F55">
        <f>Table1[[#This Row],[RGDP]]/Table1[[#This Row],[seasonal index]]</f>
        <v>3357015.9003427746</v>
      </c>
    </row>
    <row r="56" spans="1:6" x14ac:dyDescent="0.45">
      <c r="B56" t="s">
        <v>29</v>
      </c>
      <c r="C56">
        <v>3178884</v>
      </c>
      <c r="D56">
        <v>3210805.92</v>
      </c>
      <c r="E56">
        <f>Table1[[#This Row],[quarter average]]/Sheet2!$D$1</f>
        <v>0.96084892587744108</v>
      </c>
      <c r="F56">
        <f>Table1[[#This Row],[RGDP]]/Table1[[#This Row],[seasonal index]]</f>
        <v>3308411.8786905687</v>
      </c>
    </row>
    <row r="57" spans="1:6" x14ac:dyDescent="0.45">
      <c r="B57" t="s">
        <v>30</v>
      </c>
      <c r="C57">
        <v>3559155</v>
      </c>
      <c r="D57">
        <v>3655245.48</v>
      </c>
      <c r="E57">
        <f>Table1[[#This Row],[quarter average]]/Sheet2!$D$1</f>
        <v>1.0938495757091327</v>
      </c>
      <c r="F57">
        <f>Table1[[#This Row],[RGDP]]/Table1[[#This Row],[seasonal index]]</f>
        <v>3253788.3444281016</v>
      </c>
    </row>
    <row r="58" spans="1:6" x14ac:dyDescent="0.45">
      <c r="A58">
        <v>2014</v>
      </c>
      <c r="B58" t="s">
        <v>27</v>
      </c>
      <c r="C58">
        <v>3308136</v>
      </c>
      <c r="D58">
        <v>3129175.6</v>
      </c>
      <c r="E58">
        <f>Table1[[#This Row],[quarter average]]/Sheet2!$D$1</f>
        <v>0.93642066479742181</v>
      </c>
      <c r="F58">
        <f>Table1[[#This Row],[RGDP]]/Table1[[#This Row],[seasonal index]]</f>
        <v>3532745.6178208725</v>
      </c>
    </row>
    <row r="59" spans="1:6" x14ac:dyDescent="0.45">
      <c r="B59" t="s">
        <v>28</v>
      </c>
      <c r="C59">
        <v>3621756</v>
      </c>
      <c r="D59">
        <v>3371311</v>
      </c>
      <c r="E59">
        <f>Table1[[#This Row],[quarter average]]/Sheet2!$D$1</f>
        <v>1.0088808336160044</v>
      </c>
      <c r="F59">
        <f>Table1[[#This Row],[RGDP]]/Table1[[#This Row],[seasonal index]]</f>
        <v>3589874.9181496454</v>
      </c>
    </row>
    <row r="60" spans="1:6" x14ac:dyDescent="0.45">
      <c r="B60" t="s">
        <v>29</v>
      </c>
      <c r="C60">
        <v>3367553</v>
      </c>
      <c r="D60">
        <v>3210805.92</v>
      </c>
      <c r="E60">
        <f>Table1[[#This Row],[quarter average]]/Sheet2!$D$1</f>
        <v>0.96084892587744108</v>
      </c>
      <c r="F60">
        <f>Table1[[#This Row],[RGDP]]/Table1[[#This Row],[seasonal index]]</f>
        <v>3504768.4493426187</v>
      </c>
    </row>
    <row r="61" spans="1:6" x14ac:dyDescent="0.45">
      <c r="B61" t="s">
        <v>30</v>
      </c>
      <c r="C61">
        <v>3798601</v>
      </c>
      <c r="D61">
        <v>3655245.48</v>
      </c>
      <c r="E61">
        <f>Table1[[#This Row],[quarter average]]/Sheet2!$D$1</f>
        <v>1.0938495757091327</v>
      </c>
      <c r="F61">
        <f>Table1[[#This Row],[RGDP]]/Table1[[#This Row],[seasonal index]]</f>
        <v>3472690.4725792864</v>
      </c>
    </row>
    <row r="62" spans="1:6" x14ac:dyDescent="0.45">
      <c r="A62">
        <v>2015</v>
      </c>
      <c r="B62" t="s">
        <v>27</v>
      </c>
      <c r="C62">
        <v>3481796</v>
      </c>
      <c r="D62">
        <v>3129175.6</v>
      </c>
      <c r="E62">
        <f>Table1[[#This Row],[quarter average]]/Sheet2!$D$1</f>
        <v>0.93642066479742181</v>
      </c>
      <c r="F62">
        <f>Table1[[#This Row],[RGDP]]/Table1[[#This Row],[seasonal index]]</f>
        <v>3718196.459016873</v>
      </c>
    </row>
    <row r="63" spans="1:6" x14ac:dyDescent="0.45">
      <c r="B63" t="s">
        <v>28</v>
      </c>
      <c r="C63">
        <v>3853504</v>
      </c>
      <c r="D63">
        <v>3371311</v>
      </c>
      <c r="E63">
        <f>Table1[[#This Row],[quarter average]]/Sheet2!$D$1</f>
        <v>1.0088808336160044</v>
      </c>
      <c r="F63">
        <f>Table1[[#This Row],[RGDP]]/Table1[[#This Row],[seasonal index]]</f>
        <v>3819582.9196084249</v>
      </c>
    </row>
    <row r="64" spans="1:6" x14ac:dyDescent="0.45">
      <c r="B64" t="s">
        <v>29</v>
      </c>
      <c r="C64">
        <v>3589388</v>
      </c>
      <c r="D64">
        <v>3210805.92</v>
      </c>
      <c r="E64">
        <f>Table1[[#This Row],[quarter average]]/Sheet2!$D$1</f>
        <v>0.96084892587744108</v>
      </c>
      <c r="F64">
        <f>Table1[[#This Row],[RGDP]]/Table1[[#This Row],[seasonal index]]</f>
        <v>3735642.4130070126</v>
      </c>
    </row>
    <row r="65" spans="1:6" x14ac:dyDescent="0.45">
      <c r="B65" t="s">
        <v>30</v>
      </c>
      <c r="C65">
        <v>4066219</v>
      </c>
      <c r="D65">
        <v>3655245.48</v>
      </c>
      <c r="E65">
        <f>Table1[[#This Row],[quarter average]]/Sheet2!$D$1</f>
        <v>1.0938495757091327</v>
      </c>
      <c r="F65">
        <f>Table1[[#This Row],[RGDP]]/Table1[[#This Row],[seasonal index]]</f>
        <v>3717347.5131294057</v>
      </c>
    </row>
    <row r="66" spans="1:6" x14ac:dyDescent="0.45">
      <c r="A66">
        <v>2016</v>
      </c>
      <c r="B66" t="s">
        <v>27</v>
      </c>
      <c r="C66">
        <v>3722688</v>
      </c>
      <c r="D66">
        <v>3129175.6</v>
      </c>
      <c r="E66">
        <f>Table1[[#This Row],[quarter average]]/Sheet2!$D$1</f>
        <v>0.93642066479742181</v>
      </c>
      <c r="F66">
        <f>Table1[[#This Row],[RGDP]]/Table1[[#This Row],[seasonal index]]</f>
        <v>3975444.0925386222</v>
      </c>
    </row>
    <row r="67" spans="1:6" x14ac:dyDescent="0.45">
      <c r="B67" t="s">
        <v>28</v>
      </c>
      <c r="C67">
        <v>4140186</v>
      </c>
      <c r="D67">
        <v>3371311</v>
      </c>
      <c r="E67">
        <f>Table1[[#This Row],[quarter average]]/Sheet2!$D$1</f>
        <v>1.0088808336160044</v>
      </c>
      <c r="F67">
        <f>Table1[[#This Row],[RGDP]]/Table1[[#This Row],[seasonal index]]</f>
        <v>4103741.3558158828</v>
      </c>
    </row>
    <row r="68" spans="1:6" x14ac:dyDescent="0.45">
      <c r="B68" t="s">
        <v>29</v>
      </c>
      <c r="C68">
        <v>3852483</v>
      </c>
      <c r="D68">
        <v>3210805.92</v>
      </c>
      <c r="E68">
        <f>Table1[[#This Row],[quarter average]]/Sheet2!$D$1</f>
        <v>0.96084892587744108</v>
      </c>
      <c r="F68">
        <f>Table1[[#This Row],[RGDP]]/Table1[[#This Row],[seasonal index]]</f>
        <v>4009457.5705352817</v>
      </c>
    </row>
    <row r="69" spans="1:6" x14ac:dyDescent="0.45">
      <c r="B69" t="s">
        <v>30</v>
      </c>
      <c r="C69">
        <v>4347319</v>
      </c>
      <c r="D69">
        <v>3655245.48</v>
      </c>
      <c r="E69">
        <f>Table1[[#This Row],[quarter average]]/Sheet2!$D$1</f>
        <v>1.0938495757091327</v>
      </c>
      <c r="F69">
        <f>Table1[[#This Row],[RGDP]]/Table1[[#This Row],[seasonal index]]</f>
        <v>3974329.8315782342</v>
      </c>
    </row>
    <row r="70" spans="1:6" x14ac:dyDescent="0.45">
      <c r="A70">
        <v>2017</v>
      </c>
      <c r="B70" t="s">
        <v>27</v>
      </c>
      <c r="C70">
        <v>3959977</v>
      </c>
      <c r="D70">
        <v>3129175.6</v>
      </c>
      <c r="E70">
        <f>Table1[[#This Row],[quarter average]]/Sheet2!$D$1</f>
        <v>0.93642066479742181</v>
      </c>
      <c r="F70">
        <f>Table1[[#This Row],[RGDP]]/Table1[[#This Row],[seasonal index]]</f>
        <v>4228844.0963193309</v>
      </c>
    </row>
    <row r="71" spans="1:6" x14ac:dyDescent="0.45">
      <c r="B71" t="s">
        <v>28</v>
      </c>
      <c r="C71">
        <v>4437331</v>
      </c>
      <c r="D71">
        <v>3371311</v>
      </c>
      <c r="E71">
        <f>Table1[[#This Row],[quarter average]]/Sheet2!$D$1</f>
        <v>1.0088808336160044</v>
      </c>
      <c r="F71">
        <f>Table1[[#This Row],[RGDP]]/Table1[[#This Row],[seasonal index]]</f>
        <v>4398270.6898056865</v>
      </c>
    </row>
    <row r="72" spans="1:6" x14ac:dyDescent="0.45">
      <c r="B72" t="s">
        <v>29</v>
      </c>
      <c r="C72">
        <v>4142636</v>
      </c>
      <c r="D72">
        <v>3210805.92</v>
      </c>
      <c r="E72">
        <f>Table1[[#This Row],[quarter average]]/Sheet2!$D$1</f>
        <v>0.96084892587744108</v>
      </c>
      <c r="F72">
        <f>Table1[[#This Row],[RGDP]]/Table1[[#This Row],[seasonal index]]</f>
        <v>4311433.2424496096</v>
      </c>
    </row>
    <row r="73" spans="1:6" x14ac:dyDescent="0.45">
      <c r="B73" t="s">
        <v>30</v>
      </c>
      <c r="C73">
        <v>4636033</v>
      </c>
      <c r="D73">
        <v>3655245.48</v>
      </c>
      <c r="E73">
        <f>Table1[[#This Row],[quarter average]]/Sheet2!$D$1</f>
        <v>1.0938495757091327</v>
      </c>
      <c r="F73">
        <f>Table1[[#This Row],[RGDP]]/Table1[[#This Row],[seasonal index]]</f>
        <v>4238272.8877455592</v>
      </c>
    </row>
    <row r="74" spans="1:6" x14ac:dyDescent="0.45">
      <c r="A74">
        <v>2018</v>
      </c>
      <c r="B74" t="s">
        <v>27</v>
      </c>
      <c r="C74">
        <v>4215576</v>
      </c>
      <c r="D74">
        <v>3129175.6</v>
      </c>
      <c r="E74">
        <f>Table1[[#This Row],[quarter average]]/Sheet2!$D$1</f>
        <v>0.93642066479742181</v>
      </c>
      <c r="F74">
        <f>Table1[[#This Row],[RGDP]]/Table1[[#This Row],[seasonal index]]</f>
        <v>4501797.2781623378</v>
      </c>
    </row>
    <row r="75" spans="1:6" x14ac:dyDescent="0.45">
      <c r="B75" t="s">
        <v>28</v>
      </c>
      <c r="C75">
        <v>4720384</v>
      </c>
      <c r="D75">
        <v>3371311</v>
      </c>
      <c r="E75">
        <f>Table1[[#This Row],[quarter average]]/Sheet2!$D$1</f>
        <v>1.0088808336160044</v>
      </c>
      <c r="F75">
        <f>Table1[[#This Row],[RGDP]]/Table1[[#This Row],[seasonal index]]</f>
        <v>4678832.0708614541</v>
      </c>
    </row>
    <row r="76" spans="1:6" x14ac:dyDescent="0.45">
      <c r="B76" t="s">
        <v>29</v>
      </c>
      <c r="C76">
        <v>4397241</v>
      </c>
      <c r="D76">
        <v>3210805.92</v>
      </c>
      <c r="E76">
        <f>Table1[[#This Row],[quarter average]]/Sheet2!$D$1</f>
        <v>0.96084892587744108</v>
      </c>
      <c r="F76">
        <f>Table1[[#This Row],[RGDP]]/Table1[[#This Row],[seasonal index]]</f>
        <v>4576412.4635769017</v>
      </c>
    </row>
    <row r="77" spans="1:6" x14ac:dyDescent="0.45">
      <c r="B77" t="s">
        <v>30</v>
      </c>
      <c r="C77">
        <v>4931988</v>
      </c>
      <c r="D77">
        <v>3655245.48</v>
      </c>
      <c r="E77">
        <f>Table1[[#This Row],[quarter average]]/Sheet2!$D$1</f>
        <v>1.0938495757091327</v>
      </c>
      <c r="F77">
        <f>Table1[[#This Row],[RGDP]]/Table1[[#This Row],[seasonal index]]</f>
        <v>4508835.6841045879</v>
      </c>
    </row>
    <row r="78" spans="1:6" x14ac:dyDescent="0.45">
      <c r="A78">
        <v>2019</v>
      </c>
      <c r="B78" t="s">
        <v>27</v>
      </c>
      <c r="C78">
        <v>4463186</v>
      </c>
      <c r="D78">
        <v>3129175.6</v>
      </c>
      <c r="E78">
        <f>Table1[[#This Row],[quarter average]]/Sheet2!$D$1</f>
        <v>0.93642066479742181</v>
      </c>
      <c r="F78">
        <f>Table1[[#This Row],[RGDP]]/Table1[[#This Row],[seasonal index]]</f>
        <v>4766219.0378568079</v>
      </c>
    </row>
    <row r="79" spans="1:6" x14ac:dyDescent="0.45">
      <c r="B79" t="s">
        <v>28</v>
      </c>
      <c r="C79">
        <v>4985924</v>
      </c>
      <c r="D79">
        <v>3371311</v>
      </c>
      <c r="E79">
        <f>Table1[[#This Row],[quarter average]]/Sheet2!$D$1</f>
        <v>1.0088808336160044</v>
      </c>
      <c r="F79">
        <f>Table1[[#This Row],[RGDP]]/Table1[[#This Row],[seasonal index]]</f>
        <v>4942034.6128784912</v>
      </c>
    </row>
    <row r="80" spans="1:6" x14ac:dyDescent="0.45">
      <c r="B80" t="s">
        <v>29</v>
      </c>
      <c r="C80">
        <v>4675544</v>
      </c>
      <c r="D80">
        <v>3210805.92</v>
      </c>
      <c r="E80">
        <f>Table1[[#This Row],[quarter average]]/Sheet2!$D$1</f>
        <v>0.96084892587744108</v>
      </c>
      <c r="F80">
        <f>Table1[[#This Row],[RGDP]]/Table1[[#This Row],[seasonal index]]</f>
        <v>4866055.2913979925</v>
      </c>
    </row>
    <row r="81" spans="1:6" x14ac:dyDescent="0.45">
      <c r="B81" t="s">
        <v>30</v>
      </c>
      <c r="C81">
        <v>5258096</v>
      </c>
      <c r="D81">
        <v>3655245.48</v>
      </c>
      <c r="E81">
        <f>Table1[[#This Row],[quarter average]]/Sheet2!$D$1</f>
        <v>1.0938495757091327</v>
      </c>
      <c r="F81">
        <f>Table1[[#This Row],[RGDP]]/Table1[[#This Row],[seasonal index]]</f>
        <v>4806964.4279847387</v>
      </c>
    </row>
    <row r="82" spans="1:6" x14ac:dyDescent="0.45">
      <c r="A82">
        <v>2020</v>
      </c>
      <c r="B82" t="s">
        <v>27</v>
      </c>
      <c r="C82">
        <v>4433805</v>
      </c>
      <c r="D82">
        <v>3129175.6</v>
      </c>
      <c r="E82">
        <f>Table1[[#This Row],[quarter average]]/Sheet2!$D$1</f>
        <v>0.93642066479742181</v>
      </c>
      <c r="F82">
        <f>Table1[[#This Row],[RGDP]]/Table1[[#This Row],[seasonal index]]</f>
        <v>4734843.1817864422</v>
      </c>
    </row>
    <row r="83" spans="1:6" x14ac:dyDescent="0.45">
      <c r="B83" t="s">
        <v>28</v>
      </c>
      <c r="C83">
        <v>4142943</v>
      </c>
      <c r="D83">
        <v>3371311</v>
      </c>
      <c r="E83">
        <f>Table1[[#This Row],[quarter average]]/Sheet2!$D$1</f>
        <v>1.0088808336160044</v>
      </c>
      <c r="F83">
        <f>Table1[[#This Row],[RGDP]]/Table1[[#This Row],[seasonal index]]</f>
        <v>4106474.0868859324</v>
      </c>
    </row>
    <row r="84" spans="1:6" x14ac:dyDescent="0.45">
      <c r="B84" t="s">
        <v>29</v>
      </c>
      <c r="C84">
        <v>4135499</v>
      </c>
      <c r="D84">
        <v>3210805.92</v>
      </c>
      <c r="E84">
        <f>Table1[[#This Row],[quarter average]]/Sheet2!$D$1</f>
        <v>0.96084892587744108</v>
      </c>
      <c r="F84">
        <f>Table1[[#This Row],[RGDP]]/Table1[[#This Row],[seasonal index]]</f>
        <v>4304005.435842569</v>
      </c>
    </row>
    <row r="85" spans="1:6" x14ac:dyDescent="0.45">
      <c r="B85" t="s">
        <v>30</v>
      </c>
      <c r="C85">
        <v>4825596</v>
      </c>
      <c r="D85">
        <v>3655245.48</v>
      </c>
      <c r="E85">
        <f>Table1[[#This Row],[quarter average]]/Sheet2!$D$1</f>
        <v>1.0938495757091327</v>
      </c>
      <c r="F85">
        <f>Table1[[#This Row],[RGDP]]/Table1[[#This Row],[seasonal index]]</f>
        <v>4411571.8533525141</v>
      </c>
    </row>
    <row r="86" spans="1:6" x14ac:dyDescent="0.45">
      <c r="A86">
        <v>2021</v>
      </c>
      <c r="B86" t="s">
        <v>27</v>
      </c>
      <c r="C86">
        <v>4266797</v>
      </c>
      <c r="D86">
        <v>3129175.6</v>
      </c>
      <c r="E86">
        <f>Table1[[#This Row],[quarter average]]/Sheet2!$D$1</f>
        <v>0.93642066479742181</v>
      </c>
      <c r="F86">
        <f>Table1[[#This Row],[RGDP]]/Table1[[#This Row],[seasonal index]]</f>
        <v>4556495.9856188633</v>
      </c>
    </row>
    <row r="87" spans="1:6" x14ac:dyDescent="0.45">
      <c r="B87" t="s">
        <v>28</v>
      </c>
      <c r="C87">
        <v>4641825</v>
      </c>
      <c r="D87">
        <v>3371311</v>
      </c>
      <c r="E87">
        <f>Table1[[#This Row],[quarter average]]/Sheet2!$D$1</f>
        <v>1.0088808336160044</v>
      </c>
      <c r="F87">
        <f>Table1[[#This Row],[RGDP]]/Table1[[#This Row],[seasonal index]]</f>
        <v>4600964.5989238312</v>
      </c>
    </row>
    <row r="88" spans="1:6" x14ac:dyDescent="0.45">
      <c r="B88" t="s">
        <v>29</v>
      </c>
      <c r="C88">
        <v>4426630</v>
      </c>
      <c r="D88">
        <v>3210805.92</v>
      </c>
      <c r="E88">
        <f>Table1[[#This Row],[quarter average]]/Sheet2!$D$1</f>
        <v>0.96084892587744108</v>
      </c>
      <c r="F88">
        <f>Table1[[#This Row],[RGDP]]/Table1[[#This Row],[seasonal index]]</f>
        <v>4606998.9576744642</v>
      </c>
    </row>
    <row r="89" spans="1:6" x14ac:dyDescent="0.45">
      <c r="B89" t="s">
        <v>30</v>
      </c>
      <c r="C89">
        <v>5204832</v>
      </c>
      <c r="D89">
        <v>3655245.48</v>
      </c>
      <c r="E89">
        <f>Table1[[#This Row],[quarter average]]/Sheet2!$D$1</f>
        <v>1.0938495757091327</v>
      </c>
      <c r="F89">
        <f>Table1[[#This Row],[RGDP]]/Table1[[#This Row],[seasonal index]]</f>
        <v>4758270.3468397427</v>
      </c>
    </row>
    <row r="90" spans="1:6" x14ac:dyDescent="0.45">
      <c r="A90">
        <v>2022</v>
      </c>
      <c r="B90" t="s">
        <v>27</v>
      </c>
      <c r="C90">
        <v>4611219</v>
      </c>
      <c r="D90">
        <v>3129175.6</v>
      </c>
      <c r="E90">
        <f>Table1[[#This Row],[quarter average]]/Sheet2!$D$1</f>
        <v>0.93642066479742181</v>
      </c>
      <c r="F90">
        <f>Table1[[#This Row],[RGDP]]/Table1[[#This Row],[seasonal index]]</f>
        <v>4924302.9050384704</v>
      </c>
    </row>
    <row r="91" spans="1:6" x14ac:dyDescent="0.45">
      <c r="B91" t="s">
        <v>28</v>
      </c>
      <c r="C91">
        <v>4990934</v>
      </c>
      <c r="D91">
        <v>3371311</v>
      </c>
      <c r="E91">
        <f>Table1[[#This Row],[quarter average]]/Sheet2!$D$1</f>
        <v>1.0088808336160044</v>
      </c>
      <c r="F91">
        <f>Table1[[#This Row],[RGDP]]/Table1[[#This Row],[seasonal index]]</f>
        <v>4947000.5115585597</v>
      </c>
    </row>
    <row r="92" spans="1:6" x14ac:dyDescent="0.45">
      <c r="B92" t="s">
        <v>29</v>
      </c>
      <c r="C92">
        <v>4767549</v>
      </c>
      <c r="D92">
        <v>3210805.92</v>
      </c>
      <c r="E92">
        <f>Table1[[#This Row],[quarter average]]/Sheet2!$D$1</f>
        <v>0.96084892587744108</v>
      </c>
      <c r="F92">
        <f>Table1[[#This Row],[RGDP]]/Table1[[#This Row],[seasonal index]]</f>
        <v>4961809.1581320185</v>
      </c>
    </row>
    <row r="93" spans="1:6" x14ac:dyDescent="0.45">
      <c r="B93" t="s">
        <v>30</v>
      </c>
      <c r="C93">
        <v>5575902</v>
      </c>
      <c r="D93">
        <v>3655245.48</v>
      </c>
      <c r="E93">
        <f>Table1[[#This Row],[quarter average]]/Sheet2!$D$1</f>
        <v>1.0938495757091327</v>
      </c>
      <c r="F93">
        <f>Table1[[#This Row],[RGDP]]/Table1[[#This Row],[seasonal index]]</f>
        <v>5097503.4628369203</v>
      </c>
    </row>
    <row r="94" spans="1:6" x14ac:dyDescent="0.45">
      <c r="A94">
        <v>2023</v>
      </c>
      <c r="B94" t="s">
        <v>27</v>
      </c>
      <c r="C94">
        <v>4907013</v>
      </c>
      <c r="D94">
        <v>3129175.6</v>
      </c>
      <c r="E94">
        <f>Table1[[#This Row],[quarter average]]/Sheet2!$D$1</f>
        <v>0.93642066479742181</v>
      </c>
      <c r="F94">
        <f>Table1[[#This Row],[RGDP]]/Table1[[#This Row],[seasonal index]]</f>
        <v>5240180.1716555944</v>
      </c>
    </row>
    <row r="95" spans="1:6" x14ac:dyDescent="0.45">
      <c r="B95" t="s">
        <v>28</v>
      </c>
      <c r="C95">
        <v>5203455</v>
      </c>
      <c r="D95">
        <v>3371311</v>
      </c>
      <c r="E95">
        <f>Table1[[#This Row],[quarter average]]/Sheet2!$D$1</f>
        <v>1.0088808336160044</v>
      </c>
      <c r="F95">
        <f>Table1[[#This Row],[RGDP]]/Table1[[#This Row],[seasonal index]]</f>
        <v>5157650.7617355678</v>
      </c>
    </row>
    <row r="96" spans="1:6" x14ac:dyDescent="0.45">
      <c r="B96" t="s">
        <v>29</v>
      </c>
      <c r="C96">
        <v>5051396</v>
      </c>
      <c r="D96">
        <v>3210805.92</v>
      </c>
      <c r="E96">
        <f>Table1[[#This Row],[quarter average]]/Sheet2!$D$1</f>
        <v>0.96084892587744108</v>
      </c>
      <c r="F96">
        <f>Table1[[#This Row],[RGDP]]/Table1[[#This Row],[seasonal index]]</f>
        <v>5257221.8836453371</v>
      </c>
    </row>
    <row r="97" spans="1:6" x14ac:dyDescent="0.45">
      <c r="B97" t="s">
        <v>30</v>
      </c>
      <c r="C97">
        <v>5884528</v>
      </c>
      <c r="D97">
        <v>3655245.48</v>
      </c>
      <c r="E97">
        <f>Table1[[#This Row],[quarter average]]/Sheet2!$D$1</f>
        <v>1.0938495757091327</v>
      </c>
      <c r="F97">
        <f>Table1[[#This Row],[RGDP]]/Table1[[#This Row],[seasonal index]]</f>
        <v>5379650.1188795678</v>
      </c>
    </row>
    <row r="98" spans="1:6" x14ac:dyDescent="0.45">
      <c r="A98">
        <v>2024</v>
      </c>
      <c r="B98" t="s">
        <v>27</v>
      </c>
      <c r="C98">
        <v>5195588</v>
      </c>
      <c r="D98">
        <v>3129175.6</v>
      </c>
      <c r="E98">
        <f>Table1[[#This Row],[quarter average]]/Sheet2!$D$1</f>
        <v>0.93642066479742181</v>
      </c>
      <c r="F98">
        <f>Table1[[#This Row],[RGDP]]/Table1[[#This Row],[seasonal index]]</f>
        <v>5548348.2961410023</v>
      </c>
    </row>
    <row r="99" spans="1:6" x14ac:dyDescent="0.45">
      <c r="B99" t="s">
        <v>28</v>
      </c>
      <c r="C99">
        <v>5539083</v>
      </c>
      <c r="D99">
        <v>3371311</v>
      </c>
      <c r="E99">
        <f>Table1[[#This Row],[quarter average]]/Sheet2!$D$1</f>
        <v>1.0088808336160044</v>
      </c>
      <c r="F99">
        <f>Table1[[#This Row],[RGDP]]/Table1[[#This Row],[seasonal index]]</f>
        <v>5490324.3430118132</v>
      </c>
    </row>
    <row r="100" spans="1:6" x14ac:dyDescent="0.45">
      <c r="B100" t="s">
        <v>29</v>
      </c>
      <c r="C100">
        <v>5316054</v>
      </c>
      <c r="D100">
        <v>3210805.92</v>
      </c>
      <c r="E100">
        <f>Table1[[#This Row],[quarter average]]/Sheet2!$D$1</f>
        <v>0.96084892587744108</v>
      </c>
      <c r="F100">
        <f>Table1[[#This Row],[RGDP]]/Table1[[#This Row],[seasonal index]]</f>
        <v>5532663.7276983093</v>
      </c>
    </row>
    <row r="101" spans="1:6" x14ac:dyDescent="0.45">
      <c r="B101" t="s">
        <v>30</v>
      </c>
      <c r="C101">
        <v>6193631</v>
      </c>
      <c r="D101">
        <v>3655245.48</v>
      </c>
      <c r="E101">
        <f>Table1[[#This Row],[quarter average]]/Sheet2!$D$1</f>
        <v>1.0938495757091327</v>
      </c>
      <c r="F101">
        <f>Table1[[#This Row],[RGDP]]/Table1[[#This Row],[seasonal index]]</f>
        <v>5662232.8495074157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B616-424F-49FE-92EB-38E32CDB1E2D}">
  <dimension ref="A1:D100"/>
  <sheetViews>
    <sheetView workbookViewId="0">
      <selection activeCell="D1" sqref="D1"/>
    </sheetView>
  </sheetViews>
  <sheetFormatPr defaultRowHeight="14.25" x14ac:dyDescent="0.45"/>
  <sheetData>
    <row r="1" spans="1:4" x14ac:dyDescent="0.45">
      <c r="A1" s="4">
        <v>1892885</v>
      </c>
      <c r="B1">
        <f>AVERAGE(A1:A25)</f>
        <v>3655245.48</v>
      </c>
      <c r="C1" s="4">
        <v>1653296</v>
      </c>
      <c r="D1">
        <f>AVERAGE(C1:C100)</f>
        <v>3341634.5</v>
      </c>
    </row>
    <row r="2" spans="1:4" x14ac:dyDescent="0.45">
      <c r="A2" s="5">
        <v>1956269</v>
      </c>
      <c r="C2" s="5">
        <v>1729789</v>
      </c>
    </row>
    <row r="3" spans="1:4" x14ac:dyDescent="0.45">
      <c r="A3" s="4">
        <v>2045575</v>
      </c>
      <c r="C3" s="4">
        <v>1709413</v>
      </c>
    </row>
    <row r="4" spans="1:4" x14ac:dyDescent="0.45">
      <c r="A4" s="5">
        <v>2162922</v>
      </c>
      <c r="C4" s="5">
        <v>1892885</v>
      </c>
    </row>
    <row r="5" spans="1:4" x14ac:dyDescent="0.45">
      <c r="A5" s="4">
        <v>2282020</v>
      </c>
      <c r="C5" s="4">
        <v>1693209</v>
      </c>
    </row>
    <row r="6" spans="1:4" x14ac:dyDescent="0.45">
      <c r="A6" s="5">
        <v>2389831</v>
      </c>
      <c r="C6" s="5">
        <v>1786322</v>
      </c>
    </row>
    <row r="7" spans="1:4" x14ac:dyDescent="0.45">
      <c r="A7" s="4">
        <v>2533516</v>
      </c>
      <c r="C7" s="4">
        <v>1762583</v>
      </c>
    </row>
    <row r="8" spans="1:4" x14ac:dyDescent="0.45">
      <c r="A8" s="5">
        <v>2698252</v>
      </c>
      <c r="C8" s="5">
        <v>1956269</v>
      </c>
    </row>
    <row r="9" spans="1:4" x14ac:dyDescent="0.45">
      <c r="A9" s="4">
        <v>2783075</v>
      </c>
      <c r="C9" s="4">
        <v>1758847</v>
      </c>
    </row>
    <row r="10" spans="1:4" x14ac:dyDescent="0.45">
      <c r="A10" s="5">
        <v>2832721</v>
      </c>
      <c r="C10" s="5">
        <v>1851705</v>
      </c>
    </row>
    <row r="11" spans="1:4" x14ac:dyDescent="0.45">
      <c r="A11" s="4">
        <v>3011152</v>
      </c>
      <c r="C11" s="4">
        <v>1809767</v>
      </c>
    </row>
    <row r="12" spans="1:4" x14ac:dyDescent="0.45">
      <c r="A12" s="5">
        <v>3132649</v>
      </c>
      <c r="C12" s="5">
        <v>2045575</v>
      </c>
    </row>
    <row r="13" spans="1:4" x14ac:dyDescent="0.45">
      <c r="A13" s="4">
        <v>3378370</v>
      </c>
      <c r="C13" s="4">
        <v>1840079</v>
      </c>
    </row>
    <row r="14" spans="1:4" x14ac:dyDescent="0.45">
      <c r="A14" s="5">
        <v>3559155</v>
      </c>
      <c r="C14" s="5">
        <v>1932976</v>
      </c>
    </row>
    <row r="15" spans="1:4" x14ac:dyDescent="0.45">
      <c r="A15" s="4">
        <v>3798601</v>
      </c>
      <c r="C15" s="4">
        <v>1909701</v>
      </c>
    </row>
    <row r="16" spans="1:4" x14ac:dyDescent="0.45">
      <c r="A16" s="5">
        <v>4066219</v>
      </c>
      <c r="C16" s="5">
        <v>2162922</v>
      </c>
    </row>
    <row r="17" spans="1:3" x14ac:dyDescent="0.45">
      <c r="A17" s="4">
        <v>4347319</v>
      </c>
      <c r="C17" s="4">
        <v>1972128</v>
      </c>
    </row>
    <row r="18" spans="1:3" x14ac:dyDescent="0.45">
      <c r="A18" s="5">
        <v>4636033</v>
      </c>
      <c r="C18" s="5">
        <v>2077812</v>
      </c>
    </row>
    <row r="19" spans="1:3" x14ac:dyDescent="0.45">
      <c r="A19" s="4">
        <v>4931988</v>
      </c>
      <c r="C19" s="4">
        <v>2029119</v>
      </c>
    </row>
    <row r="20" spans="1:3" x14ac:dyDescent="0.45">
      <c r="A20" s="5">
        <v>5258096</v>
      </c>
      <c r="C20" s="5">
        <v>2282020</v>
      </c>
    </row>
    <row r="21" spans="1:3" x14ac:dyDescent="0.45">
      <c r="A21" s="4">
        <v>4825596</v>
      </c>
      <c r="C21" s="4">
        <v>2071140</v>
      </c>
    </row>
    <row r="22" spans="1:3" x14ac:dyDescent="0.45">
      <c r="A22" s="5">
        <v>5204832</v>
      </c>
      <c r="C22" s="5">
        <v>2195369</v>
      </c>
    </row>
    <row r="23" spans="1:3" x14ac:dyDescent="0.45">
      <c r="A23" s="4">
        <v>5575902</v>
      </c>
      <c r="C23" s="4">
        <v>2117985</v>
      </c>
    </row>
    <row r="24" spans="1:3" x14ac:dyDescent="0.45">
      <c r="A24" s="5">
        <v>5884528</v>
      </c>
      <c r="C24" s="5">
        <v>2389831</v>
      </c>
    </row>
    <row r="25" spans="1:3" x14ac:dyDescent="0.45">
      <c r="A25" s="7">
        <v>6193631</v>
      </c>
      <c r="C25" s="4">
        <v>2164381</v>
      </c>
    </row>
    <row r="26" spans="1:3" x14ac:dyDescent="0.45">
      <c r="C26" s="5">
        <v>2325314</v>
      </c>
    </row>
    <row r="27" spans="1:3" x14ac:dyDescent="0.45">
      <c r="C27" s="4">
        <v>2217593</v>
      </c>
    </row>
    <row r="28" spans="1:3" x14ac:dyDescent="0.45">
      <c r="C28" s="5">
        <v>2533516</v>
      </c>
    </row>
    <row r="29" spans="1:3" x14ac:dyDescent="0.45">
      <c r="C29" s="4">
        <v>2297797</v>
      </c>
    </row>
    <row r="30" spans="1:3" x14ac:dyDescent="0.45">
      <c r="C30" s="5">
        <v>2484417</v>
      </c>
    </row>
    <row r="31" spans="1:3" x14ac:dyDescent="0.45">
      <c r="C31" s="4">
        <v>2362773</v>
      </c>
    </row>
    <row r="32" spans="1:3" x14ac:dyDescent="0.45">
      <c r="C32" s="5">
        <v>2698252</v>
      </c>
    </row>
    <row r="33" spans="3:3" x14ac:dyDescent="0.45">
      <c r="C33" s="4">
        <v>2393607</v>
      </c>
    </row>
    <row r="34" spans="3:3" x14ac:dyDescent="0.45">
      <c r="C34" s="5">
        <v>2602999</v>
      </c>
    </row>
    <row r="35" spans="3:3" x14ac:dyDescent="0.45">
      <c r="C35" s="4">
        <v>2491196</v>
      </c>
    </row>
    <row r="36" spans="3:3" x14ac:dyDescent="0.45">
      <c r="C36" s="5">
        <v>2783075</v>
      </c>
    </row>
    <row r="37" spans="3:3" x14ac:dyDescent="0.45">
      <c r="C37" s="4">
        <v>2420350</v>
      </c>
    </row>
    <row r="38" spans="3:3" x14ac:dyDescent="0.45">
      <c r="C38" s="5">
        <v>2652251</v>
      </c>
    </row>
    <row r="39" spans="3:3" x14ac:dyDescent="0.45">
      <c r="C39" s="4">
        <v>2514311</v>
      </c>
    </row>
    <row r="40" spans="3:3" x14ac:dyDescent="0.45">
      <c r="C40" s="5">
        <v>2832721</v>
      </c>
    </row>
    <row r="41" spans="3:3" x14ac:dyDescent="0.45">
      <c r="C41" s="4">
        <v>2616891</v>
      </c>
    </row>
    <row r="42" spans="3:3" x14ac:dyDescent="0.45">
      <c r="C42" s="5">
        <v>2863767</v>
      </c>
    </row>
    <row r="43" spans="3:3" x14ac:dyDescent="0.45">
      <c r="C43" s="4">
        <v>2692052</v>
      </c>
    </row>
    <row r="44" spans="3:3" x14ac:dyDescent="0.45">
      <c r="C44" s="5">
        <v>3011152</v>
      </c>
    </row>
    <row r="45" spans="3:3" x14ac:dyDescent="0.45">
      <c r="C45" s="4">
        <v>2743209</v>
      </c>
    </row>
    <row r="46" spans="3:3" x14ac:dyDescent="0.45">
      <c r="C46" s="5">
        <v>2965726</v>
      </c>
    </row>
    <row r="47" spans="3:3" x14ac:dyDescent="0.45">
      <c r="C47" s="4">
        <v>2773776</v>
      </c>
    </row>
    <row r="48" spans="3:3" x14ac:dyDescent="0.45">
      <c r="C48" s="5">
        <v>3132649</v>
      </c>
    </row>
    <row r="49" spans="3:3" x14ac:dyDescent="0.45">
      <c r="C49" s="4">
        <v>2908899</v>
      </c>
    </row>
    <row r="50" spans="3:3" x14ac:dyDescent="0.45">
      <c r="C50" s="5">
        <v>3150174</v>
      </c>
    </row>
    <row r="51" spans="3:3" x14ac:dyDescent="0.45">
      <c r="C51" s="4">
        <v>2979022</v>
      </c>
    </row>
    <row r="52" spans="3:3" x14ac:dyDescent="0.45">
      <c r="C52" s="5">
        <v>3378370</v>
      </c>
    </row>
    <row r="53" spans="3:3" x14ac:dyDescent="0.45">
      <c r="C53" s="4">
        <v>3129776</v>
      </c>
    </row>
    <row r="54" spans="3:3" x14ac:dyDescent="0.45">
      <c r="C54" s="5">
        <v>3386829</v>
      </c>
    </row>
    <row r="55" spans="3:3" x14ac:dyDescent="0.45">
      <c r="C55" s="4">
        <v>3178884</v>
      </c>
    </row>
    <row r="56" spans="3:3" x14ac:dyDescent="0.45">
      <c r="C56" s="5">
        <v>3559155</v>
      </c>
    </row>
    <row r="57" spans="3:3" x14ac:dyDescent="0.45">
      <c r="C57" s="4">
        <v>3308136</v>
      </c>
    </row>
    <row r="58" spans="3:3" x14ac:dyDescent="0.45">
      <c r="C58" s="5">
        <v>3621756</v>
      </c>
    </row>
    <row r="59" spans="3:3" x14ac:dyDescent="0.45">
      <c r="C59" s="4">
        <v>3367553</v>
      </c>
    </row>
    <row r="60" spans="3:3" x14ac:dyDescent="0.45">
      <c r="C60" s="5">
        <v>3798601</v>
      </c>
    </row>
    <row r="61" spans="3:3" x14ac:dyDescent="0.45">
      <c r="C61" s="4">
        <v>3481796</v>
      </c>
    </row>
    <row r="62" spans="3:3" x14ac:dyDescent="0.45">
      <c r="C62" s="5">
        <v>3853504</v>
      </c>
    </row>
    <row r="63" spans="3:3" x14ac:dyDescent="0.45">
      <c r="C63" s="4">
        <v>3589388</v>
      </c>
    </row>
    <row r="64" spans="3:3" x14ac:dyDescent="0.45">
      <c r="C64" s="5">
        <v>4066219</v>
      </c>
    </row>
    <row r="65" spans="3:3" x14ac:dyDescent="0.45">
      <c r="C65" s="4">
        <v>3722688</v>
      </c>
    </row>
    <row r="66" spans="3:3" x14ac:dyDescent="0.45">
      <c r="C66" s="5">
        <v>4140186</v>
      </c>
    </row>
    <row r="67" spans="3:3" x14ac:dyDescent="0.45">
      <c r="C67" s="4">
        <v>3852483</v>
      </c>
    </row>
    <row r="68" spans="3:3" x14ac:dyDescent="0.45">
      <c r="C68" s="5">
        <v>4347319</v>
      </c>
    </row>
    <row r="69" spans="3:3" x14ac:dyDescent="0.45">
      <c r="C69" s="4">
        <v>3959977</v>
      </c>
    </row>
    <row r="70" spans="3:3" x14ac:dyDescent="0.45">
      <c r="C70" s="5">
        <v>4437331</v>
      </c>
    </row>
    <row r="71" spans="3:3" x14ac:dyDescent="0.45">
      <c r="C71" s="4">
        <v>4142636</v>
      </c>
    </row>
    <row r="72" spans="3:3" x14ac:dyDescent="0.45">
      <c r="C72" s="5">
        <v>4636033</v>
      </c>
    </row>
    <row r="73" spans="3:3" x14ac:dyDescent="0.45">
      <c r="C73" s="4">
        <v>4215576</v>
      </c>
    </row>
    <row r="74" spans="3:3" x14ac:dyDescent="0.45">
      <c r="C74" s="5">
        <v>4720384</v>
      </c>
    </row>
    <row r="75" spans="3:3" x14ac:dyDescent="0.45">
      <c r="C75" s="4">
        <v>4397241</v>
      </c>
    </row>
    <row r="76" spans="3:3" x14ac:dyDescent="0.45">
      <c r="C76" s="5">
        <v>4931988</v>
      </c>
    </row>
    <row r="77" spans="3:3" x14ac:dyDescent="0.45">
      <c r="C77" s="4">
        <v>4463186</v>
      </c>
    </row>
    <row r="78" spans="3:3" x14ac:dyDescent="0.45">
      <c r="C78" s="5">
        <v>4985924</v>
      </c>
    </row>
    <row r="79" spans="3:3" x14ac:dyDescent="0.45">
      <c r="C79" s="4">
        <v>4675544</v>
      </c>
    </row>
    <row r="80" spans="3:3" x14ac:dyDescent="0.45">
      <c r="C80" s="5">
        <v>5258096</v>
      </c>
    </row>
    <row r="81" spans="3:3" x14ac:dyDescent="0.45">
      <c r="C81" s="4">
        <v>4433805</v>
      </c>
    </row>
    <row r="82" spans="3:3" x14ac:dyDescent="0.45">
      <c r="C82" s="5">
        <v>4142943</v>
      </c>
    </row>
    <row r="83" spans="3:3" x14ac:dyDescent="0.45">
      <c r="C83" s="4">
        <v>4135499</v>
      </c>
    </row>
    <row r="84" spans="3:3" x14ac:dyDescent="0.45">
      <c r="C84" s="5">
        <v>4825596</v>
      </c>
    </row>
    <row r="85" spans="3:3" x14ac:dyDescent="0.45">
      <c r="C85" s="4">
        <v>4266797</v>
      </c>
    </row>
    <row r="86" spans="3:3" x14ac:dyDescent="0.45">
      <c r="C86" s="5">
        <v>4641825</v>
      </c>
    </row>
    <row r="87" spans="3:3" x14ac:dyDescent="0.45">
      <c r="C87" s="4">
        <v>4426630</v>
      </c>
    </row>
    <row r="88" spans="3:3" x14ac:dyDescent="0.45">
      <c r="C88" s="5">
        <v>5204832</v>
      </c>
    </row>
    <row r="89" spans="3:3" x14ac:dyDescent="0.45">
      <c r="C89" s="4">
        <v>4611219</v>
      </c>
    </row>
    <row r="90" spans="3:3" x14ac:dyDescent="0.45">
      <c r="C90" s="5">
        <v>4990934</v>
      </c>
    </row>
    <row r="91" spans="3:3" x14ac:dyDescent="0.45">
      <c r="C91" s="4">
        <v>4767549</v>
      </c>
    </row>
    <row r="92" spans="3:3" x14ac:dyDescent="0.45">
      <c r="C92" s="5">
        <v>5575902</v>
      </c>
    </row>
    <row r="93" spans="3:3" x14ac:dyDescent="0.45">
      <c r="C93" s="4">
        <v>4907013</v>
      </c>
    </row>
    <row r="94" spans="3:3" x14ac:dyDescent="0.45">
      <c r="C94" s="5">
        <v>5203455</v>
      </c>
    </row>
    <row r="95" spans="3:3" x14ac:dyDescent="0.45">
      <c r="C95" s="4">
        <v>5051396</v>
      </c>
    </row>
    <row r="96" spans="3:3" x14ac:dyDescent="0.45">
      <c r="C96" s="5">
        <v>5884528</v>
      </c>
    </row>
    <row r="97" spans="3:3" x14ac:dyDescent="0.45">
      <c r="C97" s="4">
        <v>5195588</v>
      </c>
    </row>
    <row r="98" spans="3:3" x14ac:dyDescent="0.45">
      <c r="C98" s="5">
        <v>5539083</v>
      </c>
    </row>
    <row r="99" spans="3:3" x14ac:dyDescent="0.45">
      <c r="C99" s="4">
        <v>5316054</v>
      </c>
    </row>
    <row r="100" spans="3:3" x14ac:dyDescent="0.45">
      <c r="C100" s="6">
        <v>6193631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2B5CQPQ1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Tran</cp:lastModifiedBy>
  <dcterms:created xsi:type="dcterms:W3CDTF">2025-04-07T18:15:07Z</dcterms:created>
  <dcterms:modified xsi:type="dcterms:W3CDTF">2025-04-10T14:52:52Z</dcterms:modified>
</cp:coreProperties>
</file>