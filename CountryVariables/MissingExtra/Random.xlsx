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Lynn\Desktop\Thesis\McGill\code\CB\CountryVariables\MissingExtra\"/>
    </mc:Choice>
  </mc:AlternateContent>
  <xr:revisionPtr revIDLastSave="0" documentId="13_ncr:1_{ACD4DD2A-E271-45E0-82D1-AE747E0CBEB0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D2" i="3"/>
  <c r="B2" i="3"/>
  <c r="B157" i="1"/>
  <c r="B152" i="1"/>
  <c r="B147" i="1"/>
  <c r="B142" i="1"/>
  <c r="B137" i="1"/>
  <c r="B132" i="1"/>
  <c r="B127" i="1"/>
  <c r="B122" i="1"/>
  <c r="B117" i="1"/>
  <c r="B112" i="1"/>
  <c r="B107" i="1"/>
  <c r="B102" i="1"/>
  <c r="B97" i="1"/>
  <c r="B92" i="1"/>
  <c r="B87" i="1"/>
  <c r="B82" i="1"/>
  <c r="B77" i="1"/>
  <c r="B72" i="1"/>
  <c r="B67" i="1"/>
  <c r="B62" i="1"/>
  <c r="B57" i="1"/>
  <c r="B52" i="1"/>
  <c r="B47" i="1"/>
  <c r="B42" i="1"/>
  <c r="B37" i="1"/>
  <c r="B32" i="1"/>
  <c r="B27" i="1"/>
  <c r="B22" i="1"/>
  <c r="B17" i="1"/>
  <c r="B12" i="1"/>
  <c r="B7" i="1"/>
  <c r="B2" i="1"/>
</calcChain>
</file>

<file path=xl/sharedStrings.xml><?xml version="1.0" encoding="utf-8"?>
<sst xmlns="http://schemas.openxmlformats.org/spreadsheetml/2006/main" count="268" uniqueCount="15">
  <si>
    <t>GDP_CVM</t>
  </si>
  <si>
    <t>GDP_seasonally</t>
  </si>
  <si>
    <t>Q1</t>
  </si>
  <si>
    <t>Q2</t>
  </si>
  <si>
    <t>Q3</t>
  </si>
  <si>
    <t>Q4</t>
  </si>
  <si>
    <t>2021r</t>
  </si>
  <si>
    <t>2022r</t>
  </si>
  <si>
    <t>2023p</t>
  </si>
  <si>
    <t>2024p1</t>
  </si>
  <si>
    <t>Q3r</t>
  </si>
  <si>
    <t>Column1</t>
  </si>
  <si>
    <t>quarter average</t>
  </si>
  <si>
    <t>seasonal index</t>
  </si>
  <si>
    <t>seasonally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</si>
</sst>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99"/>
      <name val="Arial Narrow"/>
      <family val="2"/>
      <charset val="222"/>
    </font>
    <font>
      <b/>
      <sz val="8"/>
      <color rgb="FF000099"/>
      <name val="Arial Narrow"/>
      <family val="2"/>
    </font>
    <font>
      <sz val="8"/>
      <color rgb="FF000099"/>
      <name val="Arial Narrow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2" fillId="2" borderId="0" xfId="0" applyNumberFormat="1" applyFont="1" applyFill="1"/>
    <xf numFmtId="3" fontId="2" fillId="2" borderId="1" xfId="0" applyNumberFormat="1" applyFont="1" applyFill="1" applyBorder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1" fillId="0" borderId="2" xfId="0" applyFont="1" applyBorder="1"/>
    <xf numFmtId="0" fontId="2" fillId="3" borderId="0" xfId="0" applyFont="1" applyFill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99"/>
        <name val="Arial Narrow"/>
        <family val="2"/>
        <charset val="222"/>
        <scheme val="none"/>
      </font>
      <numFmt numFmtId="3" formatCode="#,##0"/>
      <fill>
        <patternFill patternType="solid">
          <fgColor indexed="64"/>
          <bgColor indexed="22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99"/>
        <name val="Arial Narrow"/>
        <family val="2"/>
        <charset val="222"/>
        <scheme val="none"/>
      </font>
      <numFmt numFmtId="3" formatCode="#,##0"/>
      <fill>
        <patternFill patternType="solid">
          <fgColor indexed="64"/>
          <bgColor indexed="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99"/>
        <name val="Arial Narrow"/>
        <family val="2"/>
        <charset val="22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99"/>
        <name val="Arial Narrow"/>
        <family val="2"/>
        <charset val="222"/>
        <scheme val="none"/>
      </font>
      <numFmt numFmtId="3" formatCode="#,##0"/>
      <fill>
        <patternFill patternType="solid">
          <fgColor indexed="64"/>
          <bgColor indexed="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99"/>
        <name val="Arial Narrow"/>
        <family val="2"/>
        <charset val="22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GDP_CVM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Sheet2!$B$2:$B$129</c:f>
              <c:numCache>
                <c:formatCode>#,##0</c:formatCode>
                <c:ptCount val="128"/>
                <c:pt idx="0">
                  <c:v>1067301</c:v>
                </c:pt>
                <c:pt idx="1">
                  <c:v>1039924</c:v>
                </c:pt>
                <c:pt idx="2">
                  <c:v>1086494</c:v>
                </c:pt>
                <c:pt idx="3">
                  <c:v>1147308</c:v>
                </c:pt>
                <c:pt idx="4">
                  <c:v>1179517</c:v>
                </c:pt>
                <c:pt idx="5">
                  <c:v>1146232</c:v>
                </c:pt>
                <c:pt idx="6">
                  <c:v>1135828</c:v>
                </c:pt>
                <c:pt idx="7">
                  <c:v>1226603</c:v>
                </c:pt>
                <c:pt idx="8">
                  <c:v>1265610</c:v>
                </c:pt>
                <c:pt idx="9">
                  <c:v>1256367</c:v>
                </c:pt>
                <c:pt idx="10">
                  <c:v>1231962</c:v>
                </c:pt>
                <c:pt idx="11">
                  <c:v>1314936</c:v>
                </c:pt>
                <c:pt idx="12">
                  <c:v>1313862</c:v>
                </c:pt>
                <c:pt idx="13">
                  <c:v>1336374</c:v>
                </c:pt>
                <c:pt idx="14">
                  <c:v>1323012</c:v>
                </c:pt>
                <c:pt idx="15">
                  <c:v>1382117</c:v>
                </c:pt>
                <c:pt idx="16">
                  <c:v>1318993</c:v>
                </c:pt>
                <c:pt idx="17">
                  <c:v>1309139</c:v>
                </c:pt>
                <c:pt idx="18">
                  <c:v>1282881</c:v>
                </c:pt>
                <c:pt idx="19">
                  <c:v>1296888</c:v>
                </c:pt>
                <c:pt idx="20">
                  <c:v>1244216</c:v>
                </c:pt>
                <c:pt idx="21">
                  <c:v>1145060</c:v>
                </c:pt>
                <c:pt idx="22">
                  <c:v>1155997</c:v>
                </c:pt>
                <c:pt idx="23">
                  <c:v>1265055</c:v>
                </c:pt>
                <c:pt idx="24">
                  <c:v>1259716</c:v>
                </c:pt>
                <c:pt idx="25">
                  <c:v>1206997</c:v>
                </c:pt>
                <c:pt idx="26">
                  <c:v>1246015</c:v>
                </c:pt>
                <c:pt idx="27">
                  <c:v>1317543</c:v>
                </c:pt>
                <c:pt idx="28">
                  <c:v>1346757</c:v>
                </c:pt>
                <c:pt idx="29">
                  <c:v>1279194</c:v>
                </c:pt>
                <c:pt idx="30">
                  <c:v>1276273</c:v>
                </c:pt>
                <c:pt idx="31">
                  <c:v>1352158</c:v>
                </c:pt>
                <c:pt idx="32">
                  <c:v>1378078</c:v>
                </c:pt>
                <c:pt idx="33">
                  <c:v>1326723</c:v>
                </c:pt>
                <c:pt idx="34">
                  <c:v>1322686</c:v>
                </c:pt>
                <c:pt idx="35">
                  <c:v>1407869</c:v>
                </c:pt>
                <c:pt idx="36">
                  <c:v>1441030</c:v>
                </c:pt>
                <c:pt idx="37">
                  <c:v>1411214</c:v>
                </c:pt>
                <c:pt idx="38">
                  <c:v>1414291</c:v>
                </c:pt>
                <c:pt idx="39">
                  <c:v>1503042</c:v>
                </c:pt>
                <c:pt idx="40">
                  <c:v>1550742</c:v>
                </c:pt>
                <c:pt idx="41">
                  <c:v>1500109</c:v>
                </c:pt>
                <c:pt idx="42">
                  <c:v>1511005</c:v>
                </c:pt>
                <c:pt idx="43">
                  <c:v>1622511</c:v>
                </c:pt>
                <c:pt idx="44">
                  <c:v>1651929</c:v>
                </c:pt>
                <c:pt idx="45">
                  <c:v>1594896</c:v>
                </c:pt>
                <c:pt idx="46">
                  <c:v>1596306</c:v>
                </c:pt>
                <c:pt idx="47">
                  <c:v>1730192</c:v>
                </c:pt>
                <c:pt idx="48">
                  <c:v>1715539</c:v>
                </c:pt>
                <c:pt idx="49">
                  <c:v>1663994</c:v>
                </c:pt>
                <c:pt idx="50">
                  <c:v>1672102</c:v>
                </c:pt>
                <c:pt idx="51">
                  <c:v>1796955</c:v>
                </c:pt>
                <c:pt idx="52">
                  <c:v>1810063</c:v>
                </c:pt>
                <c:pt idx="53">
                  <c:v>1738304</c:v>
                </c:pt>
                <c:pt idx="54">
                  <c:v>1746759</c:v>
                </c:pt>
                <c:pt idx="55">
                  <c:v>1893689</c:v>
                </c:pt>
                <c:pt idx="56">
                  <c:v>1928792</c:v>
                </c:pt>
                <c:pt idx="57">
                  <c:v>1829463</c:v>
                </c:pt>
                <c:pt idx="58">
                  <c:v>1842192</c:v>
                </c:pt>
                <c:pt idx="59">
                  <c:v>1979091</c:v>
                </c:pt>
                <c:pt idx="60">
                  <c:v>1992940</c:v>
                </c:pt>
                <c:pt idx="61">
                  <c:v>1893939</c:v>
                </c:pt>
                <c:pt idx="62">
                  <c:v>1883585</c:v>
                </c:pt>
                <c:pt idx="63">
                  <c:v>1939874</c:v>
                </c:pt>
                <c:pt idx="64">
                  <c:v>1907673</c:v>
                </c:pt>
                <c:pt idx="65">
                  <c:v>1836030</c:v>
                </c:pt>
                <c:pt idx="66">
                  <c:v>1874133</c:v>
                </c:pt>
                <c:pt idx="67">
                  <c:v>2039253</c:v>
                </c:pt>
                <c:pt idx="68">
                  <c:v>2139668</c:v>
                </c:pt>
                <c:pt idx="69">
                  <c:v>2000920</c:v>
                </c:pt>
                <c:pt idx="70">
                  <c:v>1982245</c:v>
                </c:pt>
                <c:pt idx="71">
                  <c:v>2109563</c:v>
                </c:pt>
                <c:pt idx="72">
                  <c:v>2209743</c:v>
                </c:pt>
                <c:pt idx="73">
                  <c:v>2037494</c:v>
                </c:pt>
                <c:pt idx="74">
                  <c:v>2029932</c:v>
                </c:pt>
                <c:pt idx="75">
                  <c:v>2024390</c:v>
                </c:pt>
                <c:pt idx="76">
                  <c:v>2272805</c:v>
                </c:pt>
                <c:pt idx="77">
                  <c:v>2160308</c:v>
                </c:pt>
                <c:pt idx="78">
                  <c:v>2132192</c:v>
                </c:pt>
                <c:pt idx="79">
                  <c:v>2337519</c:v>
                </c:pt>
                <c:pt idx="80">
                  <c:v>2395328</c:v>
                </c:pt>
                <c:pt idx="81">
                  <c:v>2219187</c:v>
                </c:pt>
                <c:pt idx="82">
                  <c:v>2185277</c:v>
                </c:pt>
                <c:pt idx="83">
                  <c:v>2342295</c:v>
                </c:pt>
                <c:pt idx="84">
                  <c:v>2386444.0339780268</c:v>
                </c:pt>
                <c:pt idx="85">
                  <c:v>2237767.9695609356</c:v>
                </c:pt>
                <c:pt idx="86">
                  <c:v>2208911.9570584497</c:v>
                </c:pt>
                <c:pt idx="87">
                  <c:v>2398964.0394025878</c:v>
                </c:pt>
                <c:pt idx="88">
                  <c:v>2459674.6499488312</c:v>
                </c:pt>
                <c:pt idx="89">
                  <c:v>2303095.3539398797</c:v>
                </c:pt>
                <c:pt idx="90">
                  <c:v>2285060.3198451321</c:v>
                </c:pt>
                <c:pt idx="91">
                  <c:v>2473595.6762661571</c:v>
                </c:pt>
                <c:pt idx="92">
                  <c:v>2541549</c:v>
                </c:pt>
                <c:pt idx="93">
                  <c:v>2390876</c:v>
                </c:pt>
                <c:pt idx="94">
                  <c:v>2357971</c:v>
                </c:pt>
                <c:pt idx="95">
                  <c:v>2558106</c:v>
                </c:pt>
                <c:pt idx="96">
                  <c:v>2638918</c:v>
                </c:pt>
                <c:pt idx="97">
                  <c:v>2494793</c:v>
                </c:pt>
                <c:pt idx="98">
                  <c:v>2463648</c:v>
                </c:pt>
                <c:pt idx="99">
                  <c:v>2662582</c:v>
                </c:pt>
                <c:pt idx="100">
                  <c:v>2772274</c:v>
                </c:pt>
                <c:pt idx="101">
                  <c:v>2610783</c:v>
                </c:pt>
                <c:pt idx="102">
                  <c:v>2543414</c:v>
                </c:pt>
                <c:pt idx="103">
                  <c:v>2766734</c:v>
                </c:pt>
                <c:pt idx="104">
                  <c:v>2845657</c:v>
                </c:pt>
                <c:pt idx="105">
                  <c:v>2668902</c:v>
                </c:pt>
                <c:pt idx="106">
                  <c:v>2605929</c:v>
                </c:pt>
                <c:pt idx="107">
                  <c:v>2798831</c:v>
                </c:pt>
                <c:pt idx="108">
                  <c:v>2785733</c:v>
                </c:pt>
                <c:pt idx="109">
                  <c:v>2343919</c:v>
                </c:pt>
                <c:pt idx="110">
                  <c:v>2442517</c:v>
                </c:pt>
                <c:pt idx="111">
                  <c:v>2686527</c:v>
                </c:pt>
                <c:pt idx="112">
                  <c:v>2715941</c:v>
                </c:pt>
                <c:pt idx="113">
                  <c:v>2524347</c:v>
                </c:pt>
                <c:pt idx="114">
                  <c:v>2439023</c:v>
                </c:pt>
                <c:pt idx="115">
                  <c:v>2738617</c:v>
                </c:pt>
                <c:pt idx="116">
                  <c:v>2776120</c:v>
                </c:pt>
                <c:pt idx="117">
                  <c:v>2585625</c:v>
                </c:pt>
                <c:pt idx="118">
                  <c:v>2548065</c:v>
                </c:pt>
                <c:pt idx="119">
                  <c:v>2776940</c:v>
                </c:pt>
                <c:pt idx="120">
                  <c:v>2851124</c:v>
                </c:pt>
                <c:pt idx="121">
                  <c:v>2634713</c:v>
                </c:pt>
                <c:pt idx="122">
                  <c:v>2588398</c:v>
                </c:pt>
                <c:pt idx="123">
                  <c:v>2828147</c:v>
                </c:pt>
                <c:pt idx="124">
                  <c:v>2899023</c:v>
                </c:pt>
                <c:pt idx="125">
                  <c:v>2694894</c:v>
                </c:pt>
                <c:pt idx="126">
                  <c:v>2664915</c:v>
                </c:pt>
                <c:pt idx="127">
                  <c:v>2918940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4A-4F5A-B4DA-91158AF3EFC1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GDP_seasonally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Sheet2!$C$2:$C$129</c:f>
              <c:numCache>
                <c:formatCode>#,##0</c:formatCode>
                <c:ptCount val="128"/>
                <c:pt idx="0">
                  <c:v>1043940</c:v>
                </c:pt>
                <c:pt idx="1">
                  <c:v>1051493</c:v>
                </c:pt>
                <c:pt idx="2">
                  <c:v>1117265</c:v>
                </c:pt>
                <c:pt idx="3">
                  <c:v>1128004</c:v>
                </c:pt>
                <c:pt idx="4">
                  <c:v>1155167</c:v>
                </c:pt>
                <c:pt idx="5">
                  <c:v>1159212</c:v>
                </c:pt>
                <c:pt idx="6">
                  <c:v>1167189</c:v>
                </c:pt>
                <c:pt idx="7">
                  <c:v>1204635</c:v>
                </c:pt>
                <c:pt idx="8">
                  <c:v>1241364</c:v>
                </c:pt>
                <c:pt idx="9">
                  <c:v>1271334</c:v>
                </c:pt>
                <c:pt idx="10">
                  <c:v>1266064</c:v>
                </c:pt>
                <c:pt idx="11">
                  <c:v>1287811</c:v>
                </c:pt>
                <c:pt idx="12">
                  <c:v>1290178</c:v>
                </c:pt>
                <c:pt idx="13">
                  <c:v>1355585</c:v>
                </c:pt>
                <c:pt idx="14">
                  <c:v>1358694</c:v>
                </c:pt>
                <c:pt idx="15">
                  <c:v>1350295</c:v>
                </c:pt>
                <c:pt idx="16">
                  <c:v>1295068</c:v>
                </c:pt>
                <c:pt idx="17">
                  <c:v>1332432</c:v>
                </c:pt>
                <c:pt idx="18">
                  <c:v>1316869</c:v>
                </c:pt>
                <c:pt idx="19">
                  <c:v>1264817</c:v>
                </c:pt>
                <c:pt idx="20">
                  <c:v>1219543</c:v>
                </c:pt>
                <c:pt idx="21">
                  <c:v>1169841</c:v>
                </c:pt>
                <c:pt idx="22">
                  <c:v>1185583</c:v>
                </c:pt>
                <c:pt idx="23">
                  <c:v>1234176</c:v>
                </c:pt>
                <c:pt idx="24">
                  <c:v>1231096</c:v>
                </c:pt>
                <c:pt idx="25">
                  <c:v>1235950</c:v>
                </c:pt>
                <c:pt idx="26">
                  <c:v>1278567</c:v>
                </c:pt>
                <c:pt idx="27">
                  <c:v>1286444</c:v>
                </c:pt>
                <c:pt idx="28">
                  <c:v>1312743</c:v>
                </c:pt>
                <c:pt idx="29">
                  <c:v>1310305</c:v>
                </c:pt>
                <c:pt idx="30">
                  <c:v>1311035</c:v>
                </c:pt>
                <c:pt idx="31">
                  <c:v>1322086</c:v>
                </c:pt>
                <c:pt idx="32">
                  <c:v>1340916</c:v>
                </c:pt>
                <c:pt idx="33">
                  <c:v>1357226</c:v>
                </c:pt>
                <c:pt idx="34">
                  <c:v>1361128</c:v>
                </c:pt>
                <c:pt idx="35">
                  <c:v>1377551</c:v>
                </c:pt>
                <c:pt idx="36">
                  <c:v>1401122</c:v>
                </c:pt>
                <c:pt idx="37">
                  <c:v>1441696</c:v>
                </c:pt>
                <c:pt idx="38">
                  <c:v>1457612</c:v>
                </c:pt>
                <c:pt idx="39">
                  <c:v>1470469</c:v>
                </c:pt>
                <c:pt idx="40">
                  <c:v>1507410</c:v>
                </c:pt>
                <c:pt idx="41">
                  <c:v>1531805</c:v>
                </c:pt>
                <c:pt idx="42">
                  <c:v>1559613</c:v>
                </c:pt>
                <c:pt idx="43">
                  <c:v>1585088</c:v>
                </c:pt>
                <c:pt idx="44">
                  <c:v>1605528</c:v>
                </c:pt>
                <c:pt idx="45">
                  <c:v>1630311</c:v>
                </c:pt>
                <c:pt idx="46">
                  <c:v>1648705</c:v>
                </c:pt>
                <c:pt idx="47">
                  <c:v>1687376</c:v>
                </c:pt>
                <c:pt idx="48">
                  <c:v>1667251</c:v>
                </c:pt>
                <c:pt idx="49">
                  <c:v>1703635</c:v>
                </c:pt>
                <c:pt idx="50">
                  <c:v>1727030</c:v>
                </c:pt>
                <c:pt idx="51">
                  <c:v>1750093</c:v>
                </c:pt>
                <c:pt idx="52">
                  <c:v>1759029</c:v>
                </c:pt>
                <c:pt idx="53">
                  <c:v>1782039</c:v>
                </c:pt>
                <c:pt idx="54">
                  <c:v>1803808</c:v>
                </c:pt>
                <c:pt idx="55">
                  <c:v>1843868</c:v>
                </c:pt>
                <c:pt idx="56">
                  <c:v>1872883</c:v>
                </c:pt>
                <c:pt idx="57">
                  <c:v>1876656</c:v>
                </c:pt>
                <c:pt idx="58">
                  <c:v>1902482</c:v>
                </c:pt>
                <c:pt idx="59">
                  <c:v>1930168</c:v>
                </c:pt>
                <c:pt idx="60">
                  <c:v>1929934</c:v>
                </c:pt>
                <c:pt idx="61">
                  <c:v>1943261</c:v>
                </c:pt>
                <c:pt idx="62">
                  <c:v>1947130</c:v>
                </c:pt>
                <c:pt idx="63">
                  <c:v>1896809</c:v>
                </c:pt>
                <c:pt idx="64">
                  <c:v>1840468</c:v>
                </c:pt>
                <c:pt idx="65">
                  <c:v>1882567</c:v>
                </c:pt>
                <c:pt idx="66">
                  <c:v>1942165</c:v>
                </c:pt>
                <c:pt idx="67">
                  <c:v>1998349</c:v>
                </c:pt>
                <c:pt idx="68">
                  <c:v>2056192</c:v>
                </c:pt>
                <c:pt idx="69">
                  <c:v>2050009</c:v>
                </c:pt>
                <c:pt idx="70">
                  <c:v>2061032</c:v>
                </c:pt>
                <c:pt idx="71">
                  <c:v>2069569</c:v>
                </c:pt>
                <c:pt idx="72">
                  <c:v>2116329</c:v>
                </c:pt>
                <c:pt idx="73">
                  <c:v>2086229</c:v>
                </c:pt>
                <c:pt idx="74">
                  <c:v>2118250</c:v>
                </c:pt>
                <c:pt idx="75">
                  <c:v>1985255</c:v>
                </c:pt>
                <c:pt idx="76">
                  <c:v>2171512</c:v>
                </c:pt>
                <c:pt idx="77">
                  <c:v>2212813</c:v>
                </c:pt>
                <c:pt idx="78">
                  <c:v>2230645</c:v>
                </c:pt>
                <c:pt idx="79">
                  <c:v>2288897</c:v>
                </c:pt>
                <c:pt idx="80">
                  <c:v>2287227</c:v>
                </c:pt>
                <c:pt idx="81">
                  <c:v>2273917</c:v>
                </c:pt>
                <c:pt idx="82">
                  <c:v>2289937</c:v>
                </c:pt>
                <c:pt idx="83">
                  <c:v>2288665</c:v>
                </c:pt>
                <c:pt idx="84">
                  <c:v>2280152</c:v>
                </c:pt>
                <c:pt idx="85">
                  <c:v>2294352</c:v>
                </c:pt>
                <c:pt idx="86">
                  <c:v>2315589</c:v>
                </c:pt>
                <c:pt idx="87">
                  <c:v>2340555</c:v>
                </c:pt>
                <c:pt idx="88">
                  <c:v>2351840</c:v>
                </c:pt>
                <c:pt idx="89">
                  <c:v>2361909</c:v>
                </c:pt>
                <c:pt idx="90">
                  <c:v>2396348</c:v>
                </c:pt>
                <c:pt idx="91">
                  <c:v>2411147</c:v>
                </c:pt>
                <c:pt idx="92">
                  <c:v>2430206</c:v>
                </c:pt>
                <c:pt idx="93">
                  <c:v>2453261</c:v>
                </c:pt>
                <c:pt idx="94">
                  <c:v>2474203</c:v>
                </c:pt>
                <c:pt idx="95">
                  <c:v>2490699</c:v>
                </c:pt>
                <c:pt idx="96">
                  <c:v>2523151</c:v>
                </c:pt>
                <c:pt idx="97">
                  <c:v>2561275</c:v>
                </c:pt>
                <c:pt idx="98">
                  <c:v>2588944</c:v>
                </c:pt>
                <c:pt idx="99">
                  <c:v>2586924</c:v>
                </c:pt>
                <c:pt idx="100">
                  <c:v>2650195</c:v>
                </c:pt>
                <c:pt idx="101">
                  <c:v>2683059</c:v>
                </c:pt>
                <c:pt idx="102">
                  <c:v>2678449</c:v>
                </c:pt>
                <c:pt idx="103">
                  <c:v>2679840</c:v>
                </c:pt>
                <c:pt idx="104">
                  <c:v>2720238</c:v>
                </c:pt>
                <c:pt idx="105">
                  <c:v>2746449</c:v>
                </c:pt>
                <c:pt idx="106">
                  <c:v>2749544</c:v>
                </c:pt>
                <c:pt idx="107">
                  <c:v>2703944</c:v>
                </c:pt>
                <c:pt idx="108">
                  <c:v>2661582</c:v>
                </c:pt>
                <c:pt idx="109">
                  <c:v>2415453</c:v>
                </c:pt>
                <c:pt idx="110">
                  <c:v>2580833</c:v>
                </c:pt>
                <c:pt idx="111">
                  <c:v>2591025</c:v>
                </c:pt>
                <c:pt idx="112">
                  <c:v>2592790</c:v>
                </c:pt>
                <c:pt idx="113">
                  <c:v>2605045</c:v>
                </c:pt>
                <c:pt idx="114">
                  <c:v>2577757</c:v>
                </c:pt>
                <c:pt idx="115">
                  <c:v>2641357</c:v>
                </c:pt>
                <c:pt idx="116">
                  <c:v>2647464</c:v>
                </c:pt>
                <c:pt idx="117">
                  <c:v>2669521</c:v>
                </c:pt>
                <c:pt idx="118">
                  <c:v>2693326</c:v>
                </c:pt>
                <c:pt idx="119">
                  <c:v>2680282</c:v>
                </c:pt>
                <c:pt idx="120">
                  <c:v>2716640</c:v>
                </c:pt>
                <c:pt idx="121">
                  <c:v>2720425</c:v>
                </c:pt>
                <c:pt idx="122">
                  <c:v>2734353</c:v>
                </c:pt>
                <c:pt idx="123">
                  <c:v>2733671</c:v>
                </c:pt>
                <c:pt idx="124">
                  <c:v>2760371</c:v>
                </c:pt>
                <c:pt idx="125">
                  <c:v>2782069</c:v>
                </c:pt>
                <c:pt idx="126">
                  <c:v>2814072</c:v>
                </c:pt>
                <c:pt idx="127">
                  <c:v>2824464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4A-4F5A-B4DA-91158AF3EFC1}"/>
            </c:ext>
          </c:extLst>
        </c:ser>
        <c:ser>
          <c:idx val="2"/>
          <c:order val="2"/>
          <c:tx>
            <c:strRef>
              <c:f>Sheet2!$F$1</c:f>
              <c:strCache>
                <c:ptCount val="1"/>
                <c:pt idx="0">
                  <c:v>seasonally adjusted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Sheet2!$F$2:$F$129</c:f>
              <c:numCache>
                <c:formatCode>General</c:formatCode>
                <c:ptCount val="128"/>
                <c:pt idx="0">
                  <c:v>1037933.8197829324</c:v>
                </c:pt>
                <c:pt idx="1">
                  <c:v>1072254.5297990916</c:v>
                </c:pt>
                <c:pt idx="2">
                  <c:v>1126660.0308146393</c:v>
                </c:pt>
                <c:pt idx="3">
                  <c:v>1105829.9067295142</c:v>
                </c:pt>
                <c:pt idx="4">
                  <c:v>1147062.155201677</c:v>
                </c:pt>
                <c:pt idx="5">
                  <c:v>1181867.5732079195</c:v>
                </c:pt>
                <c:pt idx="6">
                  <c:v>1177817.833766344</c:v>
                </c:pt>
                <c:pt idx="7">
                  <c:v>1182258.1914221309</c:v>
                </c:pt>
                <c:pt idx="8">
                  <c:v>1230786.27458934</c:v>
                </c:pt>
                <c:pt idx="9">
                  <c:v>1295426.595443605</c:v>
                </c:pt>
                <c:pt idx="10">
                  <c:v>1277505.7615435193</c:v>
                </c:pt>
                <c:pt idx="11">
                  <c:v>1267397.7294983391</c:v>
                </c:pt>
                <c:pt idx="12">
                  <c:v>1277710.6030329242</c:v>
                </c:pt>
                <c:pt idx="13">
                  <c:v>1377920.9586524894</c:v>
                </c:pt>
                <c:pt idx="14">
                  <c:v>1371921.7415725605</c:v>
                </c:pt>
                <c:pt idx="15">
                  <c:v>1332149.9660067533</c:v>
                </c:pt>
                <c:pt idx="16">
                  <c:v>1282700.4216776236</c:v>
                </c:pt>
                <c:pt idx="17">
                  <c:v>1349839.2410278569</c:v>
                </c:pt>
                <c:pt idx="18">
                  <c:v>1330307.1595347191</c:v>
                </c:pt>
                <c:pt idx="19">
                  <c:v>1250002.2104601609</c:v>
                </c:pt>
                <c:pt idx="20">
                  <c:v>1209980.9383810575</c:v>
                </c:pt>
                <c:pt idx="21">
                  <c:v>1180659.136525119</c:v>
                </c:pt>
                <c:pt idx="22">
                  <c:v>1198732.4510228592</c:v>
                </c:pt>
                <c:pt idx="23">
                  <c:v>1219320.0541247036</c:v>
                </c:pt>
                <c:pt idx="24">
                  <c:v>1225054.4501707358</c:v>
                </c:pt>
                <c:pt idx="25">
                  <c:v>1244521.7157252976</c:v>
                </c:pt>
                <c:pt idx="26">
                  <c:v>1292078.2795813899</c:v>
                </c:pt>
                <c:pt idx="27">
                  <c:v>1269910.4798381291</c:v>
                </c:pt>
                <c:pt idx="28">
                  <c:v>1309700.4849891481</c:v>
                </c:pt>
                <c:pt idx="29">
                  <c:v>1318963.2713465784</c:v>
                </c:pt>
                <c:pt idx="30">
                  <c:v>1323454.8718243195</c:v>
                </c:pt>
                <c:pt idx="31">
                  <c:v>1303274.0598196529</c:v>
                </c:pt>
                <c:pt idx="32">
                  <c:v>1340159.6761352457</c:v>
                </c:pt>
                <c:pt idx="33">
                  <c:v>1367969.9156271422</c:v>
                </c:pt>
                <c:pt idx="34">
                  <c:v>1371583.6898483487</c:v>
                </c:pt>
                <c:pt idx="35">
                  <c:v>1356970.9659109623</c:v>
                </c:pt>
                <c:pt idx="36">
                  <c:v>1401379.5286632348</c:v>
                </c:pt>
                <c:pt idx="37">
                  <c:v>1455087.68334599</c:v>
                </c:pt>
                <c:pt idx="38">
                  <c:v>1466575.187383333</c:v>
                </c:pt>
                <c:pt idx="39">
                  <c:v>1448703.2206439269</c:v>
                </c:pt>
                <c:pt idx="40">
                  <c:v>1508072.7625644726</c:v>
                </c:pt>
                <c:pt idx="41">
                  <c:v>1546746.3684292175</c:v>
                </c:pt>
                <c:pt idx="42">
                  <c:v>1566864.556878431</c:v>
                </c:pt>
                <c:pt idx="43">
                  <c:v>1563853.1133728789</c:v>
                </c:pt>
                <c:pt idx="44">
                  <c:v>1606475.5649813875</c:v>
                </c:pt>
                <c:pt idx="45">
                  <c:v>1644480.2317846806</c:v>
                </c:pt>
                <c:pt idx="46">
                  <c:v>1655319.0051206849</c:v>
                </c:pt>
                <c:pt idx="47">
                  <c:v>1667641.1721910348</c:v>
                </c:pt>
                <c:pt idx="48">
                  <c:v>1668335.3123969641</c:v>
                </c:pt>
                <c:pt idx="49">
                  <c:v>1715726.4416039151</c:v>
                </c:pt>
                <c:pt idx="50">
                  <c:v>1733917.0679683641</c:v>
                </c:pt>
                <c:pt idx="51">
                  <c:v>1731990.5204593136</c:v>
                </c:pt>
                <c:pt idx="52">
                  <c:v>1760258.4497135803</c:v>
                </c:pt>
                <c:pt idx="53">
                  <c:v>1792346.688957924</c:v>
                </c:pt>
                <c:pt idx="54">
                  <c:v>1811334.0237182612</c:v>
                </c:pt>
                <c:pt idx="55">
                  <c:v>1825227.3410842658</c:v>
                </c:pt>
                <c:pt idx="56">
                  <c:v>1875720.5775378847</c:v>
                </c:pt>
                <c:pt idx="57">
                  <c:v>1886339.7602611687</c:v>
                </c:pt>
                <c:pt idx="58">
                  <c:v>1910295.0365915338</c:v>
                </c:pt>
                <c:pt idx="59">
                  <c:v>1907541.842242206</c:v>
                </c:pt>
                <c:pt idx="60">
                  <c:v>1938103.5216852578</c:v>
                </c:pt>
                <c:pt idx="61">
                  <c:v>1952820.2752443082</c:v>
                </c:pt>
                <c:pt idx="62">
                  <c:v>1953218.272850096</c:v>
                </c:pt>
                <c:pt idx="63">
                  <c:v>1869742.6362293384</c:v>
                </c:pt>
                <c:pt idx="64">
                  <c:v>1855182.6746032902</c:v>
                </c:pt>
                <c:pt idx="65">
                  <c:v>1893110.9238242663</c:v>
                </c:pt>
                <c:pt idx="66">
                  <c:v>1943416.8467849176</c:v>
                </c:pt>
                <c:pt idx="67">
                  <c:v>1965528.8333977293</c:v>
                </c:pt>
                <c:pt idx="68">
                  <c:v>2080794.2467095107</c:v>
                </c:pt>
                <c:pt idx="69">
                  <c:v>2063127.2417653583</c:v>
                </c:pt>
                <c:pt idx="70">
                  <c:v>2055525.5830056719</c:v>
                </c:pt>
                <c:pt idx="71">
                  <c:v>2033296.9486223701</c:v>
                </c:pt>
                <c:pt idx="72">
                  <c:v>2148941.1072683306</c:v>
                </c:pt>
                <c:pt idx="73">
                  <c:v>2100838.3025475615</c:v>
                </c:pt>
                <c:pt idx="74">
                  <c:v>2104975.4988721726</c:v>
                </c:pt>
                <c:pt idx="75">
                  <c:v>1951203.1685337862</c:v>
                </c:pt>
                <c:pt idx="76">
                  <c:v>2210267.9331057947</c:v>
                </c:pt>
                <c:pt idx="77">
                  <c:v>2227470.5062689353</c:v>
                </c:pt>
                <c:pt idx="78">
                  <c:v>2211015.8955527847</c:v>
                </c:pt>
                <c:pt idx="79">
                  <c:v>2253011.7612258149</c:v>
                </c:pt>
                <c:pt idx="80">
                  <c:v>2329419.6676223595</c:v>
                </c:pt>
                <c:pt idx="81">
                  <c:v>2288180.0143291787</c:v>
                </c:pt>
                <c:pt idx="82">
                  <c:v>2266063.3672698811</c:v>
                </c:pt>
                <c:pt idx="83">
                  <c:v>2257615.0967159714</c:v>
                </c:pt>
                <c:pt idx="84">
                  <c:v>2320780.1471984037</c:v>
                </c:pt>
                <c:pt idx="85">
                  <c:v>2307338.653594906</c:v>
                </c:pt>
                <c:pt idx="86">
                  <c:v>2290572.0727461893</c:v>
                </c:pt>
                <c:pt idx="87">
                  <c:v>2312235.4066562965</c:v>
                </c:pt>
                <c:pt idx="88">
                  <c:v>2391995.7957920376</c:v>
                </c:pt>
                <c:pt idx="89">
                  <c:v>2374697.0219182153</c:v>
                </c:pt>
                <c:pt idx="90">
                  <c:v>2369535.5246968926</c:v>
                </c:pt>
                <c:pt idx="91">
                  <c:v>2384168.9206141108</c:v>
                </c:pt>
                <c:pt idx="92">
                  <c:v>2471617.3429383952</c:v>
                </c:pt>
                <c:pt idx="93">
                  <c:v>2465206.708555561</c:v>
                </c:pt>
                <c:pt idx="94">
                  <c:v>2445141.6018128269</c:v>
                </c:pt>
                <c:pt idx="95">
                  <c:v>2465623.9818638158</c:v>
                </c:pt>
                <c:pt idx="96">
                  <c:v>2566307.1990318913</c:v>
                </c:pt>
                <c:pt idx="97">
                  <c:v>2572354.4174007573</c:v>
                </c:pt>
                <c:pt idx="98">
                  <c:v>2554725.3197867861</c:v>
                </c:pt>
                <c:pt idx="99">
                  <c:v>2566322.9095584475</c:v>
                </c:pt>
                <c:pt idx="100">
                  <c:v>2695993.8595624939</c:v>
                </c:pt>
                <c:pt idx="101">
                  <c:v>2691950.467603846</c:v>
                </c:pt>
                <c:pt idx="102">
                  <c:v>2637440.1474967967</c:v>
                </c:pt>
                <c:pt idx="103">
                  <c:v>2666709.5506746015</c:v>
                </c:pt>
                <c:pt idx="104">
                  <c:v>2767357.6992826206</c:v>
                </c:pt>
                <c:pt idx="105">
                  <c:v>2751876.3477810449</c:v>
                </c:pt>
                <c:pt idx="106">
                  <c:v>2702266.23197253</c:v>
                </c:pt>
                <c:pt idx="107">
                  <c:v>2697646.1627406701</c:v>
                </c:pt>
                <c:pt idx="108">
                  <c:v>2709082.5302190925</c:v>
                </c:pt>
                <c:pt idx="109">
                  <c:v>2416789.84736592</c:v>
                </c:pt>
                <c:pt idx="110">
                  <c:v>2532813.1388533027</c:v>
                </c:pt>
                <c:pt idx="111">
                  <c:v>2589402.2370944172</c:v>
                </c:pt>
                <c:pt idx="112">
                  <c:v>2641210.8828110131</c:v>
                </c:pt>
                <c:pt idx="113">
                  <c:v>2602827.2311579958</c:v>
                </c:pt>
                <c:pt idx="114">
                  <c:v>2529189.9709870592</c:v>
                </c:pt>
                <c:pt idx="115">
                  <c:v>2639609.0515169962</c:v>
                </c:pt>
                <c:pt idx="116">
                  <c:v>2699734.0354555971</c:v>
                </c:pt>
                <c:pt idx="117">
                  <c:v>2666010.3224964291</c:v>
                </c:pt>
                <c:pt idx="118">
                  <c:v>2642263.0878934478</c:v>
                </c:pt>
                <c:pt idx="119">
                  <c:v>2676546.5778966565</c:v>
                </c:pt>
                <c:pt idx="120">
                  <c:v>2772674.2727635349</c:v>
                </c:pt>
                <c:pt idx="121">
                  <c:v>2716624.4350265539</c:v>
                </c:pt>
                <c:pt idx="122">
                  <c:v>2684087.1375640826</c:v>
                </c:pt>
                <c:pt idx="123">
                  <c:v>2725902.3150081369</c:v>
                </c:pt>
                <c:pt idx="124">
                  <c:v>2819255.314132167</c:v>
                </c:pt>
                <c:pt idx="125">
                  <c:v>2778676.4213811713</c:v>
                </c:pt>
                <c:pt idx="126">
                  <c:v>2763432.8546852483</c:v>
                </c:pt>
                <c:pt idx="127">
                  <c:v>2813412.9178468627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4A-4F5A-B4DA-91158AF3E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52799"/>
        <c:axId val="4236479"/>
      </c:lineChart>
      <c:catAx>
        <c:axId val="4252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6479"/>
        <c:crosses val="autoZero"/>
        <c:auto val="1"/>
        <c:lblAlgn val="ctr"/>
        <c:lblOffset val="100"/>
        <c:noMultiLvlLbl val="0"/>
      </c:catAx>
      <c:valAx>
        <c:axId val="42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626268</xdr:colOff>
      <xdr:row>100</xdr:row>
      <xdr:rowOff>119062</xdr:rowOff>
    </xdr:from>
    <xdr:to>
      <xdr:col>20</xdr:col>
      <xdr:colOff>19050</xdr:colOff>
      <xdr:row>128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9B753-79C3-EA92-BAEA-7F01FCC250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CC7AC8-2144-43C2-BC9E-4B0736B8366B}" name="Table1" displayName="Table1" ref="A1:B161" totalsRowShown="0" tableBorderDxfId="8">
  <autoFilter ref="A1:B161" xr:uid="{24CC7AC8-2144-43C2-BC9E-4B0736B8366B}"/>
  <tableColumns count="2">
    <tableColumn id="1" xr3:uid="{D199B667-1797-4E53-B248-3C4A78CC91CD}" name="Column1" dataDxfId="7"/>
    <tableColumn id="2" xr3:uid="{A8E57FDA-5E1F-4293-98BF-325FF03343FA}" name="GDP_CVM" dataDxfId="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0FC055-E29A-47C4-8D7A-C7A6BAAE9EDE}" name="Table2" displayName="Table2" ref="A1:F129" totalsRowShown="0" tableBorderDxfId="5">
  <autoFilter ref="A1:F129" xr:uid="{F00FC055-E29A-47C4-8D7A-C7A6BAAE9EDE}"/>
  <tableColumns count="6">
    <tableColumn id="1" xr3:uid="{8A79298D-41BA-490F-9DEA-FF32D0E1E92A}" name="Column1" dataDxfId="4"/>
    <tableColumn id="2" xr3:uid="{6A3FFE51-1D53-481C-BE7F-0E52DC33CC2C}" name="GDP_CVM" dataDxfId="3"/>
    <tableColumn id="3" xr3:uid="{5ED6E295-A39B-44A9-ACA1-128F38B005E5}" name="GDP_seasonally" dataDxfId="0"/>
    <tableColumn id="4" xr3:uid="{38980C0C-FD67-43B5-BD54-A3F449DDF8D2}" name="quarter average"/>
    <tableColumn id="5" xr3:uid="{00605101-EF72-4DB4-A0CA-D716F4CADFE7}" name="seasonal index" dataDxfId="2">
      <calculatedColumnFormula>Table2[[#This Row],[quarter average]]/Sheet3!$D$2</calculatedColumnFormula>
    </tableColumn>
    <tableColumn id="6" xr3:uid="{DF1CD08E-E340-492B-8B2E-F3C58F823146}" name="seasonally adjusted" dataDxfId="1">
      <calculatedColumnFormula>Table2[[#This Row],[GDP_CVM]]/Table2[[#This Row],[seasonal index]]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2"/>
  <sheetViews>
    <sheetView workbookViewId="0">
      <selection activeCell="E24" sqref="E24"/>
    </sheetView>
  </sheetViews>
  <sheetFormatPr defaultRowHeight="14.25"/>
  <cols>
    <col min="1" max="1" width="9.59765625" customWidth="1"/>
    <col min="2" max="2" width="10.6640625" customWidth="1"/>
  </cols>
  <sheetData>
    <row r="1" spans="1:2">
      <c r="A1" t="s">
        <v>11</v>
      </c>
      <c r="B1" t="s">
        <v>0</v>
      </c>
    </row>
    <row r="2" spans="1:2">
      <c r="A2" s="3">
        <v>1993</v>
      </c>
      <c r="B2" s="1">
        <f>SUM(B3:B6)</f>
        <v>4341027</v>
      </c>
    </row>
    <row r="3" spans="1:2">
      <c r="A3" s="4" t="s">
        <v>2</v>
      </c>
      <c r="B3" s="1">
        <v>1067301</v>
      </c>
    </row>
    <row r="4" spans="1:2">
      <c r="A4" s="4" t="s">
        <v>3</v>
      </c>
      <c r="B4" s="1">
        <v>1039924</v>
      </c>
    </row>
    <row r="5" spans="1:2">
      <c r="A5" s="4" t="s">
        <v>4</v>
      </c>
      <c r="B5" s="1">
        <v>1086494</v>
      </c>
    </row>
    <row r="6" spans="1:2">
      <c r="A6" s="4" t="s">
        <v>5</v>
      </c>
      <c r="B6" s="1">
        <v>1147308</v>
      </c>
    </row>
    <row r="7" spans="1:2">
      <c r="A7" s="3">
        <v>1994</v>
      </c>
      <c r="B7" s="1">
        <f>SUM(B8:B11)</f>
        <v>4688180</v>
      </c>
    </row>
    <row r="8" spans="1:2">
      <c r="A8" s="4" t="s">
        <v>2</v>
      </c>
      <c r="B8" s="1">
        <v>1179517</v>
      </c>
    </row>
    <row r="9" spans="1:2">
      <c r="A9" s="4" t="s">
        <v>3</v>
      </c>
      <c r="B9" s="1">
        <v>1146232</v>
      </c>
    </row>
    <row r="10" spans="1:2">
      <c r="A10" s="4" t="s">
        <v>4</v>
      </c>
      <c r="B10" s="1">
        <v>1135828</v>
      </c>
    </row>
    <row r="11" spans="1:2">
      <c r="A11" s="4" t="s">
        <v>5</v>
      </c>
      <c r="B11" s="1">
        <v>1226603</v>
      </c>
    </row>
    <row r="12" spans="1:2">
      <c r="A12" s="3">
        <v>1995</v>
      </c>
      <c r="B12" s="1">
        <f>SUM(B13:B16)</f>
        <v>5068875</v>
      </c>
    </row>
    <row r="13" spans="1:2">
      <c r="A13" s="4" t="s">
        <v>2</v>
      </c>
      <c r="B13" s="1">
        <v>1265610</v>
      </c>
    </row>
    <row r="14" spans="1:2">
      <c r="A14" s="4" t="s">
        <v>3</v>
      </c>
      <c r="B14" s="1">
        <v>1256367</v>
      </c>
    </row>
    <row r="15" spans="1:2">
      <c r="A15" s="4" t="s">
        <v>4</v>
      </c>
      <c r="B15" s="1">
        <v>1231962</v>
      </c>
    </row>
    <row r="16" spans="1:2">
      <c r="A16" s="4" t="s">
        <v>5</v>
      </c>
      <c r="B16" s="1">
        <v>1314936</v>
      </c>
    </row>
    <row r="17" spans="1:2">
      <c r="A17" s="3">
        <v>1996</v>
      </c>
      <c r="B17" s="1">
        <f>SUM(B18:B21)</f>
        <v>5355365</v>
      </c>
    </row>
    <row r="18" spans="1:2">
      <c r="A18" s="4" t="s">
        <v>2</v>
      </c>
      <c r="B18" s="1">
        <v>1313862</v>
      </c>
    </row>
    <row r="19" spans="1:2">
      <c r="A19" s="4" t="s">
        <v>3</v>
      </c>
      <c r="B19" s="1">
        <v>1336374</v>
      </c>
    </row>
    <row r="20" spans="1:2">
      <c r="A20" s="4" t="s">
        <v>4</v>
      </c>
      <c r="B20" s="1">
        <v>1323012</v>
      </c>
    </row>
    <row r="21" spans="1:2">
      <c r="A21" s="4" t="s">
        <v>5</v>
      </c>
      <c r="B21" s="1">
        <v>1382117</v>
      </c>
    </row>
    <row r="22" spans="1:2">
      <c r="A22" s="3">
        <v>1997</v>
      </c>
      <c r="B22" s="1">
        <f>SUM(B23:B26)</f>
        <v>5207901</v>
      </c>
    </row>
    <row r="23" spans="1:2">
      <c r="A23" s="4" t="s">
        <v>2</v>
      </c>
      <c r="B23" s="1">
        <v>1318993</v>
      </c>
    </row>
    <row r="24" spans="1:2">
      <c r="A24" s="4" t="s">
        <v>3</v>
      </c>
      <c r="B24" s="1">
        <v>1309139</v>
      </c>
    </row>
    <row r="25" spans="1:2">
      <c r="A25" s="4" t="s">
        <v>4</v>
      </c>
      <c r="B25" s="1">
        <v>1282881</v>
      </c>
    </row>
    <row r="26" spans="1:2">
      <c r="A26" s="4" t="s">
        <v>5</v>
      </c>
      <c r="B26" s="1">
        <v>1296888</v>
      </c>
    </row>
    <row r="27" spans="1:2">
      <c r="A27" s="3">
        <v>1998</v>
      </c>
      <c r="B27" s="1">
        <f>SUM(B28:B31)</f>
        <v>4810328</v>
      </c>
    </row>
    <row r="28" spans="1:2">
      <c r="A28" s="4" t="s">
        <v>2</v>
      </c>
      <c r="B28" s="1">
        <v>1244216</v>
      </c>
    </row>
    <row r="29" spans="1:2">
      <c r="A29" s="4" t="s">
        <v>3</v>
      </c>
      <c r="B29" s="1">
        <v>1145060</v>
      </c>
    </row>
    <row r="30" spans="1:2">
      <c r="A30" s="4" t="s">
        <v>4</v>
      </c>
      <c r="B30" s="1">
        <v>1155997</v>
      </c>
    </row>
    <row r="31" spans="1:2">
      <c r="A31" s="4" t="s">
        <v>5</v>
      </c>
      <c r="B31" s="1">
        <v>1265055</v>
      </c>
    </row>
    <row r="32" spans="1:2">
      <c r="A32" s="3">
        <v>1999</v>
      </c>
      <c r="B32" s="1">
        <f>SUM(B33:B36)</f>
        <v>5030271</v>
      </c>
    </row>
    <row r="33" spans="1:2">
      <c r="A33" s="4" t="s">
        <v>2</v>
      </c>
      <c r="B33" s="1">
        <v>1259716</v>
      </c>
    </row>
    <row r="34" spans="1:2">
      <c r="A34" s="4" t="s">
        <v>3</v>
      </c>
      <c r="B34" s="1">
        <v>1206997</v>
      </c>
    </row>
    <row r="35" spans="1:2">
      <c r="A35" s="4" t="s">
        <v>4</v>
      </c>
      <c r="B35" s="1">
        <v>1246015</v>
      </c>
    </row>
    <row r="36" spans="1:2">
      <c r="A36" s="4" t="s">
        <v>5</v>
      </c>
      <c r="B36" s="1">
        <v>1317543</v>
      </c>
    </row>
    <row r="37" spans="1:2">
      <c r="A37" s="3">
        <v>2000</v>
      </c>
      <c r="B37" s="1">
        <f>SUM(B38:B41)</f>
        <v>5254382</v>
      </c>
    </row>
    <row r="38" spans="1:2">
      <c r="A38" s="4" t="s">
        <v>2</v>
      </c>
      <c r="B38" s="1">
        <v>1346757</v>
      </c>
    </row>
    <row r="39" spans="1:2">
      <c r="A39" s="4" t="s">
        <v>3</v>
      </c>
      <c r="B39" s="1">
        <v>1279194</v>
      </c>
    </row>
    <row r="40" spans="1:2">
      <c r="A40" s="4" t="s">
        <v>4</v>
      </c>
      <c r="B40" s="1">
        <v>1276273</v>
      </c>
    </row>
    <row r="41" spans="1:2">
      <c r="A41" s="4" t="s">
        <v>5</v>
      </c>
      <c r="B41" s="1">
        <v>1352158</v>
      </c>
    </row>
    <row r="42" spans="1:2">
      <c r="A42" s="3">
        <v>2001</v>
      </c>
      <c r="B42" s="1">
        <f>SUM(B43:B46)</f>
        <v>5435356</v>
      </c>
    </row>
    <row r="43" spans="1:2">
      <c r="A43" s="4" t="s">
        <v>2</v>
      </c>
      <c r="B43" s="1">
        <v>1378078</v>
      </c>
    </row>
    <row r="44" spans="1:2">
      <c r="A44" s="4" t="s">
        <v>3</v>
      </c>
      <c r="B44" s="1">
        <v>1326723</v>
      </c>
    </row>
    <row r="45" spans="1:2">
      <c r="A45" s="4" t="s">
        <v>4</v>
      </c>
      <c r="B45" s="1">
        <v>1322686</v>
      </c>
    </row>
    <row r="46" spans="1:2">
      <c r="A46" s="4" t="s">
        <v>5</v>
      </c>
      <c r="B46" s="1">
        <v>1407869</v>
      </c>
    </row>
    <row r="47" spans="1:2">
      <c r="A47" s="3">
        <v>2002</v>
      </c>
      <c r="B47" s="1">
        <f>SUM(B48:B51)</f>
        <v>5769577</v>
      </c>
    </row>
    <row r="48" spans="1:2">
      <c r="A48" s="4" t="s">
        <v>2</v>
      </c>
      <c r="B48" s="1">
        <v>1441030</v>
      </c>
    </row>
    <row r="49" spans="1:2">
      <c r="A49" s="4" t="s">
        <v>3</v>
      </c>
      <c r="B49" s="1">
        <v>1411214</v>
      </c>
    </row>
    <row r="50" spans="1:2">
      <c r="A50" s="4" t="s">
        <v>4</v>
      </c>
      <c r="B50" s="1">
        <v>1414291</v>
      </c>
    </row>
    <row r="51" spans="1:2">
      <c r="A51" s="4" t="s">
        <v>5</v>
      </c>
      <c r="B51" s="1">
        <v>1503042</v>
      </c>
    </row>
    <row r="52" spans="1:2">
      <c r="A52" s="5">
        <v>2003</v>
      </c>
      <c r="B52" s="1">
        <f>SUM(B53:B56)</f>
        <v>6184367</v>
      </c>
    </row>
    <row r="53" spans="1:2">
      <c r="A53" s="4" t="s">
        <v>2</v>
      </c>
      <c r="B53" s="1">
        <v>1550742</v>
      </c>
    </row>
    <row r="54" spans="1:2">
      <c r="A54" s="4" t="s">
        <v>3</v>
      </c>
      <c r="B54" s="1">
        <v>1500109</v>
      </c>
    </row>
    <row r="55" spans="1:2">
      <c r="A55" s="4" t="s">
        <v>4</v>
      </c>
      <c r="B55" s="1">
        <v>1511005</v>
      </c>
    </row>
    <row r="56" spans="1:2">
      <c r="A56" s="4" t="s">
        <v>5</v>
      </c>
      <c r="B56" s="1">
        <v>1622511</v>
      </c>
    </row>
    <row r="57" spans="1:2">
      <c r="A57" s="5">
        <v>2004</v>
      </c>
      <c r="B57" s="1">
        <f>SUM(B58:B61)</f>
        <v>6573323</v>
      </c>
    </row>
    <row r="58" spans="1:2">
      <c r="A58" s="4" t="s">
        <v>2</v>
      </c>
      <c r="B58" s="1">
        <v>1651929</v>
      </c>
    </row>
    <row r="59" spans="1:2">
      <c r="A59" s="4" t="s">
        <v>3</v>
      </c>
      <c r="B59" s="1">
        <v>1594896</v>
      </c>
    </row>
    <row r="60" spans="1:2">
      <c r="A60" s="4" t="s">
        <v>4</v>
      </c>
      <c r="B60" s="1">
        <v>1596306</v>
      </c>
    </row>
    <row r="61" spans="1:2">
      <c r="A61" s="4" t="s">
        <v>5</v>
      </c>
      <c r="B61" s="1">
        <v>1730192</v>
      </c>
    </row>
    <row r="62" spans="1:2">
      <c r="A62" s="3">
        <v>2005</v>
      </c>
      <c r="B62" s="1">
        <f>SUM(B63:B66)</f>
        <v>6848590</v>
      </c>
    </row>
    <row r="63" spans="1:2">
      <c r="A63" s="4" t="s">
        <v>2</v>
      </c>
      <c r="B63" s="1">
        <v>1715539</v>
      </c>
    </row>
    <row r="64" spans="1:2">
      <c r="A64" s="4" t="s">
        <v>3</v>
      </c>
      <c r="B64" s="1">
        <v>1663994</v>
      </c>
    </row>
    <row r="65" spans="1:2">
      <c r="A65" s="4" t="s">
        <v>4</v>
      </c>
      <c r="B65" s="1">
        <v>1672102</v>
      </c>
    </row>
    <row r="66" spans="1:2">
      <c r="A66" s="4" t="s">
        <v>5</v>
      </c>
      <c r="B66" s="1">
        <v>1796955</v>
      </c>
    </row>
    <row r="67" spans="1:2">
      <c r="A67" s="3">
        <v>2006</v>
      </c>
      <c r="B67" s="1">
        <f>SUM(B68:B71)</f>
        <v>7188815</v>
      </c>
    </row>
    <row r="68" spans="1:2">
      <c r="A68" s="4" t="s">
        <v>2</v>
      </c>
      <c r="B68" s="1">
        <v>1810063</v>
      </c>
    </row>
    <row r="69" spans="1:2">
      <c r="A69" s="4" t="s">
        <v>3</v>
      </c>
      <c r="B69" s="1">
        <v>1738304</v>
      </c>
    </row>
    <row r="70" spans="1:2">
      <c r="A70" s="4" t="s">
        <v>4</v>
      </c>
      <c r="B70" s="1">
        <v>1746759</v>
      </c>
    </row>
    <row r="71" spans="1:2">
      <c r="A71" s="4" t="s">
        <v>5</v>
      </c>
      <c r="B71" s="1">
        <v>1893689</v>
      </c>
    </row>
    <row r="72" spans="1:2">
      <c r="A72" s="3">
        <v>2007</v>
      </c>
      <c r="B72" s="1">
        <f>SUM(B73:B76)</f>
        <v>7579538</v>
      </c>
    </row>
    <row r="73" spans="1:2">
      <c r="A73" s="4" t="s">
        <v>2</v>
      </c>
      <c r="B73" s="1">
        <v>1928792</v>
      </c>
    </row>
    <row r="74" spans="1:2">
      <c r="A74" s="4" t="s">
        <v>3</v>
      </c>
      <c r="B74" s="1">
        <v>1829463</v>
      </c>
    </row>
    <row r="75" spans="1:2">
      <c r="A75" s="4" t="s">
        <v>4</v>
      </c>
      <c r="B75" s="1">
        <v>1842192</v>
      </c>
    </row>
    <row r="76" spans="1:2">
      <c r="A76" s="4" t="s">
        <v>5</v>
      </c>
      <c r="B76" s="1">
        <v>1979091</v>
      </c>
    </row>
    <row r="77" spans="1:2">
      <c r="A77" s="3">
        <v>2008</v>
      </c>
      <c r="B77" s="1">
        <f>SUM(B78:B81)</f>
        <v>7710338</v>
      </c>
    </row>
    <row r="78" spans="1:2">
      <c r="A78" s="4" t="s">
        <v>2</v>
      </c>
      <c r="B78" s="1">
        <v>1992940</v>
      </c>
    </row>
    <row r="79" spans="1:2">
      <c r="A79" s="4" t="s">
        <v>3</v>
      </c>
      <c r="B79" s="1">
        <v>1893939</v>
      </c>
    </row>
    <row r="80" spans="1:2">
      <c r="A80" s="4" t="s">
        <v>4</v>
      </c>
      <c r="B80" s="1">
        <v>1883585</v>
      </c>
    </row>
    <row r="81" spans="1:2">
      <c r="A81" s="4" t="s">
        <v>5</v>
      </c>
      <c r="B81" s="1">
        <v>1939874</v>
      </c>
    </row>
    <row r="82" spans="1:2">
      <c r="A82" s="3">
        <v>2009</v>
      </c>
      <c r="B82" s="1">
        <f>SUM(B83:B86)</f>
        <v>7657089</v>
      </c>
    </row>
    <row r="83" spans="1:2">
      <c r="A83" s="4" t="s">
        <v>2</v>
      </c>
      <c r="B83" s="1">
        <v>1907673</v>
      </c>
    </row>
    <row r="84" spans="1:2">
      <c r="A84" s="4" t="s">
        <v>3</v>
      </c>
      <c r="B84" s="1">
        <v>1836030</v>
      </c>
    </row>
    <row r="85" spans="1:2">
      <c r="A85" s="4" t="s">
        <v>4</v>
      </c>
      <c r="B85" s="1">
        <v>1874133</v>
      </c>
    </row>
    <row r="86" spans="1:2">
      <c r="A86" s="4" t="s">
        <v>5</v>
      </c>
      <c r="B86" s="1">
        <v>2039253</v>
      </c>
    </row>
    <row r="87" spans="1:2">
      <c r="A87" s="3">
        <v>2010</v>
      </c>
      <c r="B87" s="1">
        <f>SUM(B88:B91)</f>
        <v>8232396</v>
      </c>
    </row>
    <row r="88" spans="1:2">
      <c r="A88" s="4" t="s">
        <v>2</v>
      </c>
      <c r="B88" s="1">
        <v>2139668</v>
      </c>
    </row>
    <row r="89" spans="1:2">
      <c r="A89" s="4" t="s">
        <v>3</v>
      </c>
      <c r="B89" s="1">
        <v>2000920</v>
      </c>
    </row>
    <row r="90" spans="1:2">
      <c r="A90" s="4" t="s">
        <v>4</v>
      </c>
      <c r="B90" s="1">
        <v>1982245</v>
      </c>
    </row>
    <row r="91" spans="1:2">
      <c r="A91" s="4" t="s">
        <v>5</v>
      </c>
      <c r="B91" s="1">
        <v>2109563</v>
      </c>
    </row>
    <row r="92" spans="1:2">
      <c r="A92" s="3">
        <v>2011</v>
      </c>
      <c r="B92" s="1">
        <f>SUM(B93:B96)</f>
        <v>8301559</v>
      </c>
    </row>
    <row r="93" spans="1:2">
      <c r="A93" s="4" t="s">
        <v>2</v>
      </c>
      <c r="B93" s="1">
        <v>2209743</v>
      </c>
    </row>
    <row r="94" spans="1:2">
      <c r="A94" s="4" t="s">
        <v>3</v>
      </c>
      <c r="B94" s="1">
        <v>2037494</v>
      </c>
    </row>
    <row r="95" spans="1:2">
      <c r="A95" s="4" t="s">
        <v>4</v>
      </c>
      <c r="B95" s="1">
        <v>2029932</v>
      </c>
    </row>
    <row r="96" spans="1:2">
      <c r="A96" s="4" t="s">
        <v>5</v>
      </c>
      <c r="B96" s="1">
        <v>2024390</v>
      </c>
    </row>
    <row r="97" spans="1:2">
      <c r="A97" s="3">
        <v>2012</v>
      </c>
      <c r="B97" s="1">
        <f>SUM(B98:B101)</f>
        <v>8902824</v>
      </c>
    </row>
    <row r="98" spans="1:2">
      <c r="A98" s="4" t="s">
        <v>2</v>
      </c>
      <c r="B98" s="1">
        <v>2272805</v>
      </c>
    </row>
    <row r="99" spans="1:2">
      <c r="A99" s="4" t="s">
        <v>3</v>
      </c>
      <c r="B99" s="1">
        <v>2160308</v>
      </c>
    </row>
    <row r="100" spans="1:2">
      <c r="A100" s="4" t="s">
        <v>4</v>
      </c>
      <c r="B100" s="1">
        <v>2132192</v>
      </c>
    </row>
    <row r="101" spans="1:2">
      <c r="A101" s="4" t="s">
        <v>5</v>
      </c>
      <c r="B101" s="1">
        <v>2337519</v>
      </c>
    </row>
    <row r="102" spans="1:2">
      <c r="A102" s="3">
        <v>2013</v>
      </c>
      <c r="B102" s="1">
        <f>SUM(B103:B106)</f>
        <v>9142087</v>
      </c>
    </row>
    <row r="103" spans="1:2">
      <c r="A103" s="4" t="s">
        <v>2</v>
      </c>
      <c r="B103" s="1">
        <v>2395328</v>
      </c>
    </row>
    <row r="104" spans="1:2">
      <c r="A104" s="4" t="s">
        <v>3</v>
      </c>
      <c r="B104" s="1">
        <v>2219187</v>
      </c>
    </row>
    <row r="105" spans="1:2">
      <c r="A105" s="4" t="s">
        <v>4</v>
      </c>
      <c r="B105" s="1">
        <v>2185277</v>
      </c>
    </row>
    <row r="106" spans="1:2">
      <c r="A106" s="4" t="s">
        <v>5</v>
      </c>
      <c r="B106" s="1">
        <v>2342295</v>
      </c>
    </row>
    <row r="107" spans="1:2">
      <c r="A107" s="3">
        <v>2014</v>
      </c>
      <c r="B107" s="1">
        <f>SUM(B108:B111)</f>
        <v>9232088</v>
      </c>
    </row>
    <row r="108" spans="1:2">
      <c r="A108" s="4" t="s">
        <v>2</v>
      </c>
      <c r="B108" s="1">
        <v>2386444.0339780268</v>
      </c>
    </row>
    <row r="109" spans="1:2">
      <c r="A109" s="4" t="s">
        <v>3</v>
      </c>
      <c r="B109" s="1">
        <v>2237767.9695609356</v>
      </c>
    </row>
    <row r="110" spans="1:2">
      <c r="A110" s="4" t="s">
        <v>4</v>
      </c>
      <c r="B110" s="1">
        <v>2208911.9570584497</v>
      </c>
    </row>
    <row r="111" spans="1:2">
      <c r="A111" s="4" t="s">
        <v>5</v>
      </c>
      <c r="B111" s="1">
        <v>2398964.0394025878</v>
      </c>
    </row>
    <row r="112" spans="1:2">
      <c r="A112" s="3">
        <v>2015</v>
      </c>
      <c r="B112" s="1">
        <f>SUM(B113:B116)</f>
        <v>9521426</v>
      </c>
    </row>
    <row r="113" spans="1:2">
      <c r="A113" s="4" t="s">
        <v>2</v>
      </c>
      <c r="B113" s="1">
        <v>2459674.6499488312</v>
      </c>
    </row>
    <row r="114" spans="1:2">
      <c r="A114" s="4" t="s">
        <v>3</v>
      </c>
      <c r="B114" s="1">
        <v>2303095.3539398797</v>
      </c>
    </row>
    <row r="115" spans="1:2">
      <c r="A115" s="4" t="s">
        <v>4</v>
      </c>
      <c r="B115" s="1">
        <v>2285060.3198451321</v>
      </c>
    </row>
    <row r="116" spans="1:2">
      <c r="A116" s="4" t="s">
        <v>5</v>
      </c>
      <c r="B116" s="1">
        <v>2473595.6762661571</v>
      </c>
    </row>
    <row r="117" spans="1:2">
      <c r="A117" s="3">
        <v>2016</v>
      </c>
      <c r="B117" s="1">
        <f>SUM(B118:B121)</f>
        <v>9848502</v>
      </c>
    </row>
    <row r="118" spans="1:2">
      <c r="A118" s="4" t="s">
        <v>2</v>
      </c>
      <c r="B118" s="1">
        <v>2541549</v>
      </c>
    </row>
    <row r="119" spans="1:2">
      <c r="A119" s="4" t="s">
        <v>3</v>
      </c>
      <c r="B119" s="1">
        <v>2390876</v>
      </c>
    </row>
    <row r="120" spans="1:2">
      <c r="A120" s="4" t="s">
        <v>4</v>
      </c>
      <c r="B120" s="1">
        <v>2357971</v>
      </c>
    </row>
    <row r="121" spans="1:2">
      <c r="A121" s="4" t="s">
        <v>5</v>
      </c>
      <c r="B121" s="1">
        <v>2558106</v>
      </c>
    </row>
    <row r="122" spans="1:2">
      <c r="A122" s="3">
        <v>2017</v>
      </c>
      <c r="B122" s="1">
        <f>SUM(B123:B126)</f>
        <v>10259941</v>
      </c>
    </row>
    <row r="123" spans="1:2">
      <c r="A123" s="4" t="s">
        <v>2</v>
      </c>
      <c r="B123" s="1">
        <v>2638918</v>
      </c>
    </row>
    <row r="124" spans="1:2">
      <c r="A124" s="4" t="s">
        <v>3</v>
      </c>
      <c r="B124" s="1">
        <v>2494793</v>
      </c>
    </row>
    <row r="125" spans="1:2">
      <c r="A125" s="4" t="s">
        <v>4</v>
      </c>
      <c r="B125" s="1">
        <v>2463648</v>
      </c>
    </row>
    <row r="126" spans="1:2">
      <c r="A126" s="4" t="s">
        <v>5</v>
      </c>
      <c r="B126" s="1">
        <v>2662582</v>
      </c>
    </row>
    <row r="127" spans="1:2">
      <c r="A127" s="3">
        <v>2018</v>
      </c>
      <c r="B127" s="1">
        <f>SUM(B128:B131)</f>
        <v>10693205</v>
      </c>
    </row>
    <row r="128" spans="1:2">
      <c r="A128" s="4" t="s">
        <v>2</v>
      </c>
      <c r="B128" s="1">
        <v>2772274</v>
      </c>
    </row>
    <row r="129" spans="1:2">
      <c r="A129" s="4" t="s">
        <v>3</v>
      </c>
      <c r="B129" s="1">
        <v>2610783</v>
      </c>
    </row>
    <row r="130" spans="1:2">
      <c r="A130" s="4" t="s">
        <v>4</v>
      </c>
      <c r="B130" s="1">
        <v>2543414</v>
      </c>
    </row>
    <row r="131" spans="1:2">
      <c r="A131" s="4" t="s">
        <v>5</v>
      </c>
      <c r="B131" s="1">
        <v>2766734</v>
      </c>
    </row>
    <row r="132" spans="1:2">
      <c r="A132" s="3">
        <v>2019</v>
      </c>
      <c r="B132" s="1">
        <f>SUM(B133:B136)</f>
        <v>10919319</v>
      </c>
    </row>
    <row r="133" spans="1:2">
      <c r="A133" s="4" t="s">
        <v>2</v>
      </c>
      <c r="B133" s="1">
        <v>2845657</v>
      </c>
    </row>
    <row r="134" spans="1:2">
      <c r="A134" s="4" t="s">
        <v>3</v>
      </c>
      <c r="B134" s="1">
        <v>2668902</v>
      </c>
    </row>
    <row r="135" spans="1:2">
      <c r="A135" s="4" t="s">
        <v>4</v>
      </c>
      <c r="B135" s="1">
        <v>2605929</v>
      </c>
    </row>
    <row r="136" spans="1:2">
      <c r="A136" s="4" t="s">
        <v>5</v>
      </c>
      <c r="B136" s="1">
        <v>2798831</v>
      </c>
    </row>
    <row r="137" spans="1:2">
      <c r="A137" s="3">
        <v>2020</v>
      </c>
      <c r="B137" s="1">
        <f>SUM(B138:B141)</f>
        <v>10258696</v>
      </c>
    </row>
    <row r="138" spans="1:2">
      <c r="A138" s="4" t="s">
        <v>2</v>
      </c>
      <c r="B138" s="1">
        <v>2785733</v>
      </c>
    </row>
    <row r="139" spans="1:2">
      <c r="A139" s="4" t="s">
        <v>3</v>
      </c>
      <c r="B139" s="1">
        <v>2343919</v>
      </c>
    </row>
    <row r="140" spans="1:2">
      <c r="A140" s="4" t="s">
        <v>4</v>
      </c>
      <c r="B140" s="1">
        <v>2442517</v>
      </c>
    </row>
    <row r="141" spans="1:2">
      <c r="A141" s="4" t="s">
        <v>5</v>
      </c>
      <c r="B141" s="1">
        <v>2686527</v>
      </c>
    </row>
    <row r="142" spans="1:2">
      <c r="A142" s="3" t="s">
        <v>6</v>
      </c>
      <c r="B142" s="1">
        <f>SUM(B143:B146)</f>
        <v>10417928</v>
      </c>
    </row>
    <row r="143" spans="1:2">
      <c r="A143" s="4" t="s">
        <v>2</v>
      </c>
      <c r="B143" s="1">
        <v>2715941</v>
      </c>
    </row>
    <row r="144" spans="1:2">
      <c r="A144" s="4" t="s">
        <v>3</v>
      </c>
      <c r="B144" s="1">
        <v>2524347</v>
      </c>
    </row>
    <row r="145" spans="1:2">
      <c r="A145" s="4" t="s">
        <v>4</v>
      </c>
      <c r="B145" s="1">
        <v>2439023</v>
      </c>
    </row>
    <row r="146" spans="1:2">
      <c r="A146" s="4" t="s">
        <v>5</v>
      </c>
      <c r="B146" s="1">
        <v>2738617</v>
      </c>
    </row>
    <row r="147" spans="1:2">
      <c r="A147" s="3" t="s">
        <v>7</v>
      </c>
      <c r="B147" s="1">
        <f>SUM(B148:B151)</f>
        <v>10686750</v>
      </c>
    </row>
    <row r="148" spans="1:2">
      <c r="A148" s="4" t="s">
        <v>2</v>
      </c>
      <c r="B148" s="1">
        <v>2776120</v>
      </c>
    </row>
    <row r="149" spans="1:2">
      <c r="A149" s="4" t="s">
        <v>3</v>
      </c>
      <c r="B149" s="1">
        <v>2585625</v>
      </c>
    </row>
    <row r="150" spans="1:2">
      <c r="A150" s="4" t="s">
        <v>4</v>
      </c>
      <c r="B150" s="1">
        <v>2548065</v>
      </c>
    </row>
    <row r="151" spans="1:2">
      <c r="A151" s="4" t="s">
        <v>5</v>
      </c>
      <c r="B151" s="1">
        <v>2776940</v>
      </c>
    </row>
    <row r="152" spans="1:2">
      <c r="A152" s="3" t="s">
        <v>8</v>
      </c>
      <c r="B152" s="1">
        <f>SUM(B153:B156)</f>
        <v>10902382</v>
      </c>
    </row>
    <row r="153" spans="1:2">
      <c r="A153" s="4" t="s">
        <v>2</v>
      </c>
      <c r="B153" s="1">
        <v>2851124</v>
      </c>
    </row>
    <row r="154" spans="1:2">
      <c r="A154" s="4" t="s">
        <v>3</v>
      </c>
      <c r="B154" s="1">
        <v>2634713</v>
      </c>
    </row>
    <row r="155" spans="1:2">
      <c r="A155" s="4" t="s">
        <v>4</v>
      </c>
      <c r="B155" s="1">
        <v>2588398</v>
      </c>
    </row>
    <row r="156" spans="1:2">
      <c r="A156" s="4" t="s">
        <v>5</v>
      </c>
      <c r="B156" s="1">
        <v>2828147</v>
      </c>
    </row>
    <row r="157" spans="1:2">
      <c r="A157" s="3" t="s">
        <v>9</v>
      </c>
      <c r="B157" s="1">
        <f>SUM(B158:B161)</f>
        <v>11177772</v>
      </c>
    </row>
    <row r="158" spans="1:2">
      <c r="A158" s="4" t="s">
        <v>2</v>
      </c>
      <c r="B158" s="1">
        <v>2899023</v>
      </c>
    </row>
    <row r="159" spans="1:2">
      <c r="A159" s="4" t="s">
        <v>3</v>
      </c>
      <c r="B159" s="1">
        <v>2694894</v>
      </c>
    </row>
    <row r="160" spans="1:2">
      <c r="A160" s="4" t="s">
        <v>10</v>
      </c>
      <c r="B160" s="1">
        <v>2664915</v>
      </c>
    </row>
    <row r="161" spans="1:2">
      <c r="A161" s="4" t="s">
        <v>5</v>
      </c>
      <c r="B161" s="1">
        <v>2918940</v>
      </c>
    </row>
    <row r="162" spans="1:2">
      <c r="A162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A8B8-3073-402D-A35A-BB6AF9AB3E4D}">
  <dimension ref="A1:D128"/>
  <sheetViews>
    <sheetView workbookViewId="0">
      <selection activeCell="D2" sqref="D2"/>
    </sheetView>
  </sheetViews>
  <sheetFormatPr defaultRowHeight="14.25"/>
  <sheetData>
    <row r="1" spans="1:4">
      <c r="A1" s="1">
        <v>1147308</v>
      </c>
      <c r="C1" s="1">
        <v>1067301</v>
      </c>
    </row>
    <row r="2" spans="1:4">
      <c r="A2" s="1">
        <v>1226603</v>
      </c>
      <c r="B2" s="9">
        <f>AVERAGE(A1:A32)</f>
        <v>2019901.0848646483</v>
      </c>
      <c r="C2" s="1">
        <v>1039924</v>
      </c>
      <c r="D2" s="9">
        <f>AVERAGE(C1:C128)</f>
        <v>1946876.5390625</v>
      </c>
    </row>
    <row r="3" spans="1:4">
      <c r="A3" s="1">
        <v>1314936</v>
      </c>
      <c r="C3" s="1">
        <v>1086494</v>
      </c>
    </row>
    <row r="4" spans="1:4">
      <c r="A4" s="1">
        <v>1382117</v>
      </c>
      <c r="C4" s="1">
        <v>1147308</v>
      </c>
    </row>
    <row r="5" spans="1:4">
      <c r="A5" s="1">
        <v>1296888</v>
      </c>
      <c r="C5" s="1">
        <v>1179517</v>
      </c>
    </row>
    <row r="6" spans="1:4">
      <c r="A6" s="1">
        <v>1265055</v>
      </c>
      <c r="C6" s="1">
        <v>1146232</v>
      </c>
    </row>
    <row r="7" spans="1:4">
      <c r="A7" s="1">
        <v>1317543</v>
      </c>
      <c r="C7" s="1">
        <v>1135828</v>
      </c>
    </row>
    <row r="8" spans="1:4">
      <c r="A8" s="1">
        <v>1352158</v>
      </c>
      <c r="C8" s="1">
        <v>1226603</v>
      </c>
    </row>
    <row r="9" spans="1:4">
      <c r="A9" s="1">
        <v>1407869</v>
      </c>
      <c r="C9" s="1">
        <v>1265610</v>
      </c>
    </row>
    <row r="10" spans="1:4">
      <c r="A10" s="1">
        <v>1503042</v>
      </c>
      <c r="C10" s="1">
        <v>1256367</v>
      </c>
    </row>
    <row r="11" spans="1:4">
      <c r="A11" s="1">
        <v>1622511</v>
      </c>
      <c r="C11" s="1">
        <v>1231962</v>
      </c>
    </row>
    <row r="12" spans="1:4">
      <c r="A12" s="1">
        <v>1730192</v>
      </c>
      <c r="C12" s="1">
        <v>1314936</v>
      </c>
    </row>
    <row r="13" spans="1:4">
      <c r="A13" s="1">
        <v>1796955</v>
      </c>
      <c r="C13" s="1">
        <v>1313862</v>
      </c>
    </row>
    <row r="14" spans="1:4">
      <c r="A14" s="1">
        <v>1893689</v>
      </c>
      <c r="C14" s="1">
        <v>1336374</v>
      </c>
    </row>
    <row r="15" spans="1:4">
      <c r="A15" s="1">
        <v>1979091</v>
      </c>
      <c r="C15" s="1">
        <v>1323012</v>
      </c>
    </row>
    <row r="16" spans="1:4">
      <c r="A16" s="1">
        <v>1939874</v>
      </c>
      <c r="C16" s="1">
        <v>1382117</v>
      </c>
    </row>
    <row r="17" spans="1:3">
      <c r="A17" s="1">
        <v>2039253</v>
      </c>
      <c r="C17" s="1">
        <v>1318993</v>
      </c>
    </row>
    <row r="18" spans="1:3">
      <c r="A18" s="1">
        <v>2109563</v>
      </c>
      <c r="C18" s="1">
        <v>1309139</v>
      </c>
    </row>
    <row r="19" spans="1:3">
      <c r="A19" s="1">
        <v>2024390</v>
      </c>
      <c r="C19" s="1">
        <v>1282881</v>
      </c>
    </row>
    <row r="20" spans="1:3">
      <c r="A20" s="1">
        <v>2337519</v>
      </c>
      <c r="C20" s="1">
        <v>1296888</v>
      </c>
    </row>
    <row r="21" spans="1:3">
      <c r="A21" s="1">
        <v>2342295</v>
      </c>
      <c r="C21" s="1">
        <v>1244216</v>
      </c>
    </row>
    <row r="22" spans="1:3">
      <c r="A22" s="1">
        <v>2398964.0394025878</v>
      </c>
      <c r="C22" s="1">
        <v>1145060</v>
      </c>
    </row>
    <row r="23" spans="1:3">
      <c r="A23" s="1">
        <v>2473595.6762661571</v>
      </c>
      <c r="C23" s="1">
        <v>1155997</v>
      </c>
    </row>
    <row r="24" spans="1:3">
      <c r="A24" s="1">
        <v>2558106</v>
      </c>
      <c r="C24" s="1">
        <v>1265055</v>
      </c>
    </row>
    <row r="25" spans="1:3">
      <c r="A25" s="1">
        <v>2662582</v>
      </c>
      <c r="C25" s="1">
        <v>1259716</v>
      </c>
    </row>
    <row r="26" spans="1:3">
      <c r="A26" s="1">
        <v>2766734</v>
      </c>
      <c r="C26" s="1">
        <v>1206997</v>
      </c>
    </row>
    <row r="27" spans="1:3">
      <c r="A27" s="1">
        <v>2798831</v>
      </c>
      <c r="C27" s="1">
        <v>1246015</v>
      </c>
    </row>
    <row r="28" spans="1:3">
      <c r="A28" s="1">
        <v>2686527</v>
      </c>
      <c r="C28" s="1">
        <v>1317543</v>
      </c>
    </row>
    <row r="29" spans="1:3">
      <c r="A29" s="1">
        <v>2738617</v>
      </c>
      <c r="C29" s="1">
        <v>1346757</v>
      </c>
    </row>
    <row r="30" spans="1:3">
      <c r="A30" s="1">
        <v>2776940</v>
      </c>
      <c r="C30" s="1">
        <v>1279194</v>
      </c>
    </row>
    <row r="31" spans="1:3">
      <c r="A31" s="1">
        <v>2828147</v>
      </c>
      <c r="C31" s="1">
        <v>1276273</v>
      </c>
    </row>
    <row r="32" spans="1:3">
      <c r="A32" s="2">
        <v>2918940</v>
      </c>
      <c r="C32" s="1">
        <v>1352158</v>
      </c>
    </row>
    <row r="33" spans="3:3">
      <c r="C33" s="1">
        <v>1378078</v>
      </c>
    </row>
    <row r="34" spans="3:3">
      <c r="C34" s="1">
        <v>1326723</v>
      </c>
    </row>
    <row r="35" spans="3:3">
      <c r="C35" s="1">
        <v>1322686</v>
      </c>
    </row>
    <row r="36" spans="3:3">
      <c r="C36" s="1">
        <v>1407869</v>
      </c>
    </row>
    <row r="37" spans="3:3">
      <c r="C37" s="1">
        <v>1441030</v>
      </c>
    </row>
    <row r="38" spans="3:3">
      <c r="C38" s="1">
        <v>1411214</v>
      </c>
    </row>
    <row r="39" spans="3:3">
      <c r="C39" s="1">
        <v>1414291</v>
      </c>
    </row>
    <row r="40" spans="3:3">
      <c r="C40" s="1">
        <v>1503042</v>
      </c>
    </row>
    <row r="41" spans="3:3">
      <c r="C41" s="1">
        <v>1550742</v>
      </c>
    </row>
    <row r="42" spans="3:3">
      <c r="C42" s="1">
        <v>1500109</v>
      </c>
    </row>
    <row r="43" spans="3:3">
      <c r="C43" s="1">
        <v>1511005</v>
      </c>
    </row>
    <row r="44" spans="3:3">
      <c r="C44" s="1">
        <v>1622511</v>
      </c>
    </row>
    <row r="45" spans="3:3">
      <c r="C45" s="1">
        <v>1651929</v>
      </c>
    </row>
    <row r="46" spans="3:3">
      <c r="C46" s="1">
        <v>1594896</v>
      </c>
    </row>
    <row r="47" spans="3:3">
      <c r="C47" s="1">
        <v>1596306</v>
      </c>
    </row>
    <row r="48" spans="3:3">
      <c r="C48" s="1">
        <v>1730192</v>
      </c>
    </row>
    <row r="49" spans="3:3">
      <c r="C49" s="1">
        <v>1715539</v>
      </c>
    </row>
    <row r="50" spans="3:3">
      <c r="C50" s="1">
        <v>1663994</v>
      </c>
    </row>
    <row r="51" spans="3:3">
      <c r="C51" s="1">
        <v>1672102</v>
      </c>
    </row>
    <row r="52" spans="3:3">
      <c r="C52" s="1">
        <v>1796955</v>
      </c>
    </row>
    <row r="53" spans="3:3">
      <c r="C53" s="1">
        <v>1810063</v>
      </c>
    </row>
    <row r="54" spans="3:3">
      <c r="C54" s="1">
        <v>1738304</v>
      </c>
    </row>
    <row r="55" spans="3:3">
      <c r="C55" s="1">
        <v>1746759</v>
      </c>
    </row>
    <row r="56" spans="3:3">
      <c r="C56" s="1">
        <v>1893689</v>
      </c>
    </row>
    <row r="57" spans="3:3">
      <c r="C57" s="1">
        <v>1928792</v>
      </c>
    </row>
    <row r="58" spans="3:3">
      <c r="C58" s="1">
        <v>1829463</v>
      </c>
    </row>
    <row r="59" spans="3:3">
      <c r="C59" s="1">
        <v>1842192</v>
      </c>
    </row>
    <row r="60" spans="3:3">
      <c r="C60" s="1">
        <v>1979091</v>
      </c>
    </row>
    <row r="61" spans="3:3">
      <c r="C61" s="1">
        <v>1992940</v>
      </c>
    </row>
    <row r="62" spans="3:3">
      <c r="C62" s="1">
        <v>1893939</v>
      </c>
    </row>
    <row r="63" spans="3:3">
      <c r="C63" s="1">
        <v>1883585</v>
      </c>
    </row>
    <row r="64" spans="3:3">
      <c r="C64" s="1">
        <v>1939874</v>
      </c>
    </row>
    <row r="65" spans="3:3">
      <c r="C65" s="1">
        <v>1907673</v>
      </c>
    </row>
    <row r="66" spans="3:3">
      <c r="C66" s="1">
        <v>1836030</v>
      </c>
    </row>
    <row r="67" spans="3:3">
      <c r="C67" s="1">
        <v>1874133</v>
      </c>
    </row>
    <row r="68" spans="3:3">
      <c r="C68" s="1">
        <v>2039253</v>
      </c>
    </row>
    <row r="69" spans="3:3">
      <c r="C69" s="1">
        <v>2139668</v>
      </c>
    </row>
    <row r="70" spans="3:3">
      <c r="C70" s="1">
        <v>2000920</v>
      </c>
    </row>
    <row r="71" spans="3:3">
      <c r="C71" s="1">
        <v>1982245</v>
      </c>
    </row>
    <row r="72" spans="3:3">
      <c r="C72" s="1">
        <v>2109563</v>
      </c>
    </row>
    <row r="73" spans="3:3">
      <c r="C73" s="1">
        <v>2209743</v>
      </c>
    </row>
    <row r="74" spans="3:3">
      <c r="C74" s="1">
        <v>2037494</v>
      </c>
    </row>
    <row r="75" spans="3:3">
      <c r="C75" s="1">
        <v>2029932</v>
      </c>
    </row>
    <row r="76" spans="3:3">
      <c r="C76" s="1">
        <v>2024390</v>
      </c>
    </row>
    <row r="77" spans="3:3">
      <c r="C77" s="1">
        <v>2272805</v>
      </c>
    </row>
    <row r="78" spans="3:3">
      <c r="C78" s="1">
        <v>2160308</v>
      </c>
    </row>
    <row r="79" spans="3:3">
      <c r="C79" s="1">
        <v>2132192</v>
      </c>
    </row>
    <row r="80" spans="3:3">
      <c r="C80" s="1">
        <v>2337519</v>
      </c>
    </row>
    <row r="81" spans="3:3">
      <c r="C81" s="1">
        <v>2395328</v>
      </c>
    </row>
    <row r="82" spans="3:3">
      <c r="C82" s="1">
        <v>2219187</v>
      </c>
    </row>
    <row r="83" spans="3:3">
      <c r="C83" s="1">
        <v>2185277</v>
      </c>
    </row>
    <row r="84" spans="3:3">
      <c r="C84" s="1">
        <v>2342295</v>
      </c>
    </row>
    <row r="85" spans="3:3">
      <c r="C85" s="1">
        <v>2386444.0339780268</v>
      </c>
    </row>
    <row r="86" spans="3:3">
      <c r="C86" s="1">
        <v>2237767.9695609356</v>
      </c>
    </row>
    <row r="87" spans="3:3">
      <c r="C87" s="1">
        <v>2208911.9570584497</v>
      </c>
    </row>
    <row r="88" spans="3:3">
      <c r="C88" s="1">
        <v>2398964.0394025878</v>
      </c>
    </row>
    <row r="89" spans="3:3">
      <c r="C89" s="1">
        <v>2459674.6499488312</v>
      </c>
    </row>
    <row r="90" spans="3:3">
      <c r="C90" s="1">
        <v>2303095.3539398797</v>
      </c>
    </row>
    <row r="91" spans="3:3">
      <c r="C91" s="1">
        <v>2285060.3198451321</v>
      </c>
    </row>
    <row r="92" spans="3:3">
      <c r="C92" s="1">
        <v>2473595.6762661571</v>
      </c>
    </row>
    <row r="93" spans="3:3">
      <c r="C93" s="1">
        <v>2541549</v>
      </c>
    </row>
    <row r="94" spans="3:3">
      <c r="C94" s="1">
        <v>2390876</v>
      </c>
    </row>
    <row r="95" spans="3:3">
      <c r="C95" s="1">
        <v>2357971</v>
      </c>
    </row>
    <row r="96" spans="3:3">
      <c r="C96" s="1">
        <v>2558106</v>
      </c>
    </row>
    <row r="97" spans="3:3">
      <c r="C97" s="1">
        <v>2638918</v>
      </c>
    </row>
    <row r="98" spans="3:3">
      <c r="C98" s="1">
        <v>2494793</v>
      </c>
    </row>
    <row r="99" spans="3:3">
      <c r="C99" s="1">
        <v>2463648</v>
      </c>
    </row>
    <row r="100" spans="3:3">
      <c r="C100" s="1">
        <v>2662582</v>
      </c>
    </row>
    <row r="101" spans="3:3">
      <c r="C101" s="1">
        <v>2772274</v>
      </c>
    </row>
    <row r="102" spans="3:3">
      <c r="C102" s="1">
        <v>2610783</v>
      </c>
    </row>
    <row r="103" spans="3:3">
      <c r="C103" s="1">
        <v>2543414</v>
      </c>
    </row>
    <row r="104" spans="3:3">
      <c r="C104" s="1">
        <v>2766734</v>
      </c>
    </row>
    <row r="105" spans="3:3">
      <c r="C105" s="1">
        <v>2845657</v>
      </c>
    </row>
    <row r="106" spans="3:3">
      <c r="C106" s="1">
        <v>2668902</v>
      </c>
    </row>
    <row r="107" spans="3:3">
      <c r="C107" s="1">
        <v>2605929</v>
      </c>
    </row>
    <row r="108" spans="3:3">
      <c r="C108" s="1">
        <v>2798831</v>
      </c>
    </row>
    <row r="109" spans="3:3">
      <c r="C109" s="1">
        <v>2785733</v>
      </c>
    </row>
    <row r="110" spans="3:3">
      <c r="C110" s="1">
        <v>2343919</v>
      </c>
    </row>
    <row r="111" spans="3:3">
      <c r="C111" s="1">
        <v>2442517</v>
      </c>
    </row>
    <row r="112" spans="3:3">
      <c r="C112" s="1">
        <v>2686527</v>
      </c>
    </row>
    <row r="113" spans="3:3">
      <c r="C113" s="1">
        <v>2715941</v>
      </c>
    </row>
    <row r="114" spans="3:3">
      <c r="C114" s="1">
        <v>2524347</v>
      </c>
    </row>
    <row r="115" spans="3:3">
      <c r="C115" s="1">
        <v>2439023</v>
      </c>
    </row>
    <row r="116" spans="3:3">
      <c r="C116" s="1">
        <v>2738617</v>
      </c>
    </row>
    <row r="117" spans="3:3">
      <c r="C117" s="1">
        <v>2776120</v>
      </c>
    </row>
    <row r="118" spans="3:3">
      <c r="C118" s="1">
        <v>2585625</v>
      </c>
    </row>
    <row r="119" spans="3:3">
      <c r="C119" s="1">
        <v>2548065</v>
      </c>
    </row>
    <row r="120" spans="3:3">
      <c r="C120" s="1">
        <v>2776940</v>
      </c>
    </row>
    <row r="121" spans="3:3">
      <c r="C121" s="1">
        <v>2851124</v>
      </c>
    </row>
    <row r="122" spans="3:3">
      <c r="C122" s="1">
        <v>2634713</v>
      </c>
    </row>
    <row r="123" spans="3:3">
      <c r="C123" s="1">
        <v>2588398</v>
      </c>
    </row>
    <row r="124" spans="3:3">
      <c r="C124" s="1">
        <v>2828147</v>
      </c>
    </row>
    <row r="125" spans="3:3">
      <c r="C125" s="1">
        <v>2899023</v>
      </c>
    </row>
    <row r="126" spans="3:3">
      <c r="C126" s="1">
        <v>2694894</v>
      </c>
    </row>
    <row r="127" spans="3:3">
      <c r="C127" s="1">
        <v>2664915</v>
      </c>
    </row>
    <row r="128" spans="3:3">
      <c r="C128" s="2">
        <v>2918940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C58E-785C-405E-AF3C-E59546A67246}">
  <dimension ref="A1:F129"/>
  <sheetViews>
    <sheetView tabSelected="1" topLeftCell="A100" workbookViewId="0">
      <selection activeCell="G112" sqref="G112"/>
    </sheetView>
  </sheetViews>
  <sheetFormatPr defaultRowHeight="14.25"/>
  <cols>
    <col min="1" max="1" width="9.86328125" customWidth="1"/>
    <col min="2" max="2" width="10.73046875" customWidth="1"/>
    <col min="3" max="3" width="15" customWidth="1"/>
  </cols>
  <sheetData>
    <row r="1" spans="1:6">
      <c r="A1" s="7" t="s">
        <v>11</v>
      </c>
      <c r="B1" s="7" t="s">
        <v>0</v>
      </c>
      <c r="C1" t="s">
        <v>1</v>
      </c>
      <c r="D1" t="s">
        <v>12</v>
      </c>
      <c r="E1" t="s">
        <v>13</v>
      </c>
      <c r="F1" t="s">
        <v>14</v>
      </c>
    </row>
    <row r="2" spans="1:6">
      <c r="A2" s="8" t="s">
        <v>2</v>
      </c>
      <c r="B2" s="1">
        <v>1067301</v>
      </c>
      <c r="C2" s="1">
        <v>1043940</v>
      </c>
      <c r="D2">
        <v>2001961.2401227143</v>
      </c>
      <c r="E2">
        <f>Table2[[#This Row],[quarter average]]/Sheet3!$D$2</f>
        <v>1.0282938850795027</v>
      </c>
      <c r="F2">
        <f>Table2[[#This Row],[GDP_CVM]]/Table2[[#This Row],[seasonal index]]</f>
        <v>1037933.8197829324</v>
      </c>
    </row>
    <row r="3" spans="1:6">
      <c r="A3" s="4" t="s">
        <v>3</v>
      </c>
      <c r="B3" s="1">
        <v>1039924</v>
      </c>
      <c r="C3" s="1">
        <v>1051493</v>
      </c>
      <c r="D3">
        <v>1888174.4788594004</v>
      </c>
      <c r="E3">
        <f>Table2[[#This Row],[quarter average]]/Sheet3!$D$2</f>
        <v>0.96984808280068591</v>
      </c>
      <c r="F3">
        <f>Table2[[#This Row],[GDP_CVM]]/Table2[[#This Row],[seasonal index]]</f>
        <v>1072254.5297990916</v>
      </c>
    </row>
    <row r="4" spans="1:6">
      <c r="A4" s="8" t="s">
        <v>4</v>
      </c>
      <c r="B4" s="1">
        <v>1086494</v>
      </c>
      <c r="C4" s="1">
        <v>1117265</v>
      </c>
      <c r="D4">
        <v>1877469.352403237</v>
      </c>
      <c r="E4">
        <f>Table2[[#This Row],[quarter average]]/Sheet3!$D$2</f>
        <v>0.9643494668168916</v>
      </c>
      <c r="F4">
        <f>Table2[[#This Row],[GDP_CVM]]/Table2[[#This Row],[seasonal index]]</f>
        <v>1126660.0308146393</v>
      </c>
    </row>
    <row r="5" spans="1:6">
      <c r="A5" s="4" t="s">
        <v>5</v>
      </c>
      <c r="B5" s="1">
        <v>1147308</v>
      </c>
      <c r="C5" s="1">
        <v>1128004</v>
      </c>
      <c r="D5">
        <v>2019901.0848646483</v>
      </c>
      <c r="E5">
        <f>Table2[[#This Row],[quarter average]]/Sheet3!$D$2</f>
        <v>1.0375085653029199</v>
      </c>
      <c r="F5">
        <f>Table2[[#This Row],[GDP_CVM]]/Table2[[#This Row],[seasonal index]]</f>
        <v>1105829.9067295142</v>
      </c>
    </row>
    <row r="6" spans="1:6">
      <c r="A6" s="8" t="s">
        <v>2</v>
      </c>
      <c r="B6" s="1">
        <v>1179517</v>
      </c>
      <c r="C6" s="1">
        <v>1155167</v>
      </c>
      <c r="D6">
        <v>2001961.2401227143</v>
      </c>
      <c r="E6">
        <f>Table2[[#This Row],[quarter average]]/Sheet3!$D$2</f>
        <v>1.0282938850795027</v>
      </c>
      <c r="F6">
        <f>Table2[[#This Row],[GDP_CVM]]/Table2[[#This Row],[seasonal index]]</f>
        <v>1147062.155201677</v>
      </c>
    </row>
    <row r="7" spans="1:6">
      <c r="A7" s="4" t="s">
        <v>3</v>
      </c>
      <c r="B7" s="1">
        <v>1146232</v>
      </c>
      <c r="C7" s="1">
        <v>1159212</v>
      </c>
      <c r="D7">
        <v>1888174.4788594004</v>
      </c>
      <c r="E7">
        <f>Table2[[#This Row],[quarter average]]/Sheet3!$D$2</f>
        <v>0.96984808280068591</v>
      </c>
      <c r="F7">
        <f>Table2[[#This Row],[GDP_CVM]]/Table2[[#This Row],[seasonal index]]</f>
        <v>1181867.5732079195</v>
      </c>
    </row>
    <row r="8" spans="1:6">
      <c r="A8" s="8" t="s">
        <v>4</v>
      </c>
      <c r="B8" s="1">
        <v>1135828</v>
      </c>
      <c r="C8" s="1">
        <v>1167189</v>
      </c>
      <c r="D8">
        <v>1877469.352403237</v>
      </c>
      <c r="E8">
        <f>Table2[[#This Row],[quarter average]]/Sheet3!$D$2</f>
        <v>0.9643494668168916</v>
      </c>
      <c r="F8">
        <f>Table2[[#This Row],[GDP_CVM]]/Table2[[#This Row],[seasonal index]]</f>
        <v>1177817.833766344</v>
      </c>
    </row>
    <row r="9" spans="1:6">
      <c r="A9" s="4" t="s">
        <v>5</v>
      </c>
      <c r="B9" s="1">
        <v>1226603</v>
      </c>
      <c r="C9" s="1">
        <v>1204635</v>
      </c>
      <c r="D9">
        <v>2019901.0848646483</v>
      </c>
      <c r="E9">
        <f>Table2[[#This Row],[quarter average]]/Sheet3!$D$2</f>
        <v>1.0375085653029199</v>
      </c>
      <c r="F9">
        <f>Table2[[#This Row],[GDP_CVM]]/Table2[[#This Row],[seasonal index]]</f>
        <v>1182258.1914221309</v>
      </c>
    </row>
    <row r="10" spans="1:6">
      <c r="A10" s="8" t="s">
        <v>2</v>
      </c>
      <c r="B10" s="1">
        <v>1265610</v>
      </c>
      <c r="C10" s="1">
        <v>1241364</v>
      </c>
      <c r="D10">
        <v>2001961.2401227143</v>
      </c>
      <c r="E10">
        <f>Table2[[#This Row],[quarter average]]/Sheet3!$D$2</f>
        <v>1.0282938850795027</v>
      </c>
      <c r="F10">
        <f>Table2[[#This Row],[GDP_CVM]]/Table2[[#This Row],[seasonal index]]</f>
        <v>1230786.27458934</v>
      </c>
    </row>
    <row r="11" spans="1:6">
      <c r="A11" s="4" t="s">
        <v>3</v>
      </c>
      <c r="B11" s="1">
        <v>1256367</v>
      </c>
      <c r="C11" s="1">
        <v>1271334</v>
      </c>
      <c r="D11">
        <v>1888174.4788594004</v>
      </c>
      <c r="E11">
        <f>Table2[[#This Row],[quarter average]]/Sheet3!$D$2</f>
        <v>0.96984808280068591</v>
      </c>
      <c r="F11">
        <f>Table2[[#This Row],[GDP_CVM]]/Table2[[#This Row],[seasonal index]]</f>
        <v>1295426.595443605</v>
      </c>
    </row>
    <row r="12" spans="1:6">
      <c r="A12" s="8" t="s">
        <v>4</v>
      </c>
      <c r="B12" s="1">
        <v>1231962</v>
      </c>
      <c r="C12" s="1">
        <v>1266064</v>
      </c>
      <c r="D12">
        <v>1877469.352403237</v>
      </c>
      <c r="E12">
        <f>Table2[[#This Row],[quarter average]]/Sheet3!$D$2</f>
        <v>0.9643494668168916</v>
      </c>
      <c r="F12">
        <f>Table2[[#This Row],[GDP_CVM]]/Table2[[#This Row],[seasonal index]]</f>
        <v>1277505.7615435193</v>
      </c>
    </row>
    <row r="13" spans="1:6">
      <c r="A13" s="4" t="s">
        <v>5</v>
      </c>
      <c r="B13" s="1">
        <v>1314936</v>
      </c>
      <c r="C13" s="1">
        <v>1287811</v>
      </c>
      <c r="D13">
        <v>2019901.0848646483</v>
      </c>
      <c r="E13">
        <f>Table2[[#This Row],[quarter average]]/Sheet3!$D$2</f>
        <v>1.0375085653029199</v>
      </c>
      <c r="F13">
        <f>Table2[[#This Row],[GDP_CVM]]/Table2[[#This Row],[seasonal index]]</f>
        <v>1267397.7294983391</v>
      </c>
    </row>
    <row r="14" spans="1:6">
      <c r="A14" s="8" t="s">
        <v>2</v>
      </c>
      <c r="B14" s="1">
        <v>1313862</v>
      </c>
      <c r="C14" s="1">
        <v>1290178</v>
      </c>
      <c r="D14">
        <v>2001961.2401227143</v>
      </c>
      <c r="E14">
        <f>Table2[[#This Row],[quarter average]]/Sheet3!$D$2</f>
        <v>1.0282938850795027</v>
      </c>
      <c r="F14">
        <f>Table2[[#This Row],[GDP_CVM]]/Table2[[#This Row],[seasonal index]]</f>
        <v>1277710.6030329242</v>
      </c>
    </row>
    <row r="15" spans="1:6">
      <c r="A15" s="4" t="s">
        <v>3</v>
      </c>
      <c r="B15" s="1">
        <v>1336374</v>
      </c>
      <c r="C15" s="1">
        <v>1355585</v>
      </c>
      <c r="D15">
        <v>1888174.4788594004</v>
      </c>
      <c r="E15">
        <f>Table2[[#This Row],[quarter average]]/Sheet3!$D$2</f>
        <v>0.96984808280068591</v>
      </c>
      <c r="F15">
        <f>Table2[[#This Row],[GDP_CVM]]/Table2[[#This Row],[seasonal index]]</f>
        <v>1377920.9586524894</v>
      </c>
    </row>
    <row r="16" spans="1:6">
      <c r="A16" s="8" t="s">
        <v>4</v>
      </c>
      <c r="B16" s="1">
        <v>1323012</v>
      </c>
      <c r="C16" s="1">
        <v>1358694</v>
      </c>
      <c r="D16">
        <v>1877469.352403237</v>
      </c>
      <c r="E16">
        <f>Table2[[#This Row],[quarter average]]/Sheet3!$D$2</f>
        <v>0.9643494668168916</v>
      </c>
      <c r="F16">
        <f>Table2[[#This Row],[GDP_CVM]]/Table2[[#This Row],[seasonal index]]</f>
        <v>1371921.7415725605</v>
      </c>
    </row>
    <row r="17" spans="1:6">
      <c r="A17" s="4" t="s">
        <v>5</v>
      </c>
      <c r="B17" s="1">
        <v>1382117</v>
      </c>
      <c r="C17" s="1">
        <v>1350295</v>
      </c>
      <c r="D17">
        <v>2019901.0848646483</v>
      </c>
      <c r="E17">
        <f>Table2[[#This Row],[quarter average]]/Sheet3!$D$2</f>
        <v>1.0375085653029199</v>
      </c>
      <c r="F17">
        <f>Table2[[#This Row],[GDP_CVM]]/Table2[[#This Row],[seasonal index]]</f>
        <v>1332149.9660067533</v>
      </c>
    </row>
    <row r="18" spans="1:6">
      <c r="A18" s="8" t="s">
        <v>2</v>
      </c>
      <c r="B18" s="1">
        <v>1318993</v>
      </c>
      <c r="C18" s="1">
        <v>1295068</v>
      </c>
      <c r="D18">
        <v>2001961.2401227143</v>
      </c>
      <c r="E18">
        <f>Table2[[#This Row],[quarter average]]/Sheet3!$D$2</f>
        <v>1.0282938850795027</v>
      </c>
      <c r="F18">
        <f>Table2[[#This Row],[GDP_CVM]]/Table2[[#This Row],[seasonal index]]</f>
        <v>1282700.4216776236</v>
      </c>
    </row>
    <row r="19" spans="1:6">
      <c r="A19" s="4" t="s">
        <v>3</v>
      </c>
      <c r="B19" s="1">
        <v>1309139</v>
      </c>
      <c r="C19" s="1">
        <v>1332432</v>
      </c>
      <c r="D19">
        <v>1888174.4788594004</v>
      </c>
      <c r="E19">
        <f>Table2[[#This Row],[quarter average]]/Sheet3!$D$2</f>
        <v>0.96984808280068591</v>
      </c>
      <c r="F19">
        <f>Table2[[#This Row],[GDP_CVM]]/Table2[[#This Row],[seasonal index]]</f>
        <v>1349839.2410278569</v>
      </c>
    </row>
    <row r="20" spans="1:6">
      <c r="A20" s="8" t="s">
        <v>4</v>
      </c>
      <c r="B20" s="1">
        <v>1282881</v>
      </c>
      <c r="C20" s="1">
        <v>1316869</v>
      </c>
      <c r="D20">
        <v>1877469.352403237</v>
      </c>
      <c r="E20">
        <f>Table2[[#This Row],[quarter average]]/Sheet3!$D$2</f>
        <v>0.9643494668168916</v>
      </c>
      <c r="F20">
        <f>Table2[[#This Row],[GDP_CVM]]/Table2[[#This Row],[seasonal index]]</f>
        <v>1330307.1595347191</v>
      </c>
    </row>
    <row r="21" spans="1:6">
      <c r="A21" s="4" t="s">
        <v>5</v>
      </c>
      <c r="B21" s="1">
        <v>1296888</v>
      </c>
      <c r="C21" s="1">
        <v>1264817</v>
      </c>
      <c r="D21">
        <v>2019901.0848646483</v>
      </c>
      <c r="E21">
        <f>Table2[[#This Row],[quarter average]]/Sheet3!$D$2</f>
        <v>1.0375085653029199</v>
      </c>
      <c r="F21">
        <f>Table2[[#This Row],[GDP_CVM]]/Table2[[#This Row],[seasonal index]]</f>
        <v>1250002.2104601609</v>
      </c>
    </row>
    <row r="22" spans="1:6">
      <c r="A22" s="8" t="s">
        <v>2</v>
      </c>
      <c r="B22" s="1">
        <v>1244216</v>
      </c>
      <c r="C22" s="1">
        <v>1219543</v>
      </c>
      <c r="D22">
        <v>2001961.2401227143</v>
      </c>
      <c r="E22">
        <f>Table2[[#This Row],[quarter average]]/Sheet3!$D$2</f>
        <v>1.0282938850795027</v>
      </c>
      <c r="F22">
        <f>Table2[[#This Row],[GDP_CVM]]/Table2[[#This Row],[seasonal index]]</f>
        <v>1209980.9383810575</v>
      </c>
    </row>
    <row r="23" spans="1:6">
      <c r="A23" s="4" t="s">
        <v>3</v>
      </c>
      <c r="B23" s="1">
        <v>1145060</v>
      </c>
      <c r="C23" s="1">
        <v>1169841</v>
      </c>
      <c r="D23">
        <v>1888174.4788594004</v>
      </c>
      <c r="E23">
        <f>Table2[[#This Row],[quarter average]]/Sheet3!$D$2</f>
        <v>0.96984808280068591</v>
      </c>
      <c r="F23">
        <f>Table2[[#This Row],[GDP_CVM]]/Table2[[#This Row],[seasonal index]]</f>
        <v>1180659.136525119</v>
      </c>
    </row>
    <row r="24" spans="1:6">
      <c r="A24" s="8" t="s">
        <v>4</v>
      </c>
      <c r="B24" s="1">
        <v>1155997</v>
      </c>
      <c r="C24" s="1">
        <v>1185583</v>
      </c>
      <c r="D24">
        <v>1877469.352403237</v>
      </c>
      <c r="E24">
        <f>Table2[[#This Row],[quarter average]]/Sheet3!$D$2</f>
        <v>0.9643494668168916</v>
      </c>
      <c r="F24">
        <f>Table2[[#This Row],[GDP_CVM]]/Table2[[#This Row],[seasonal index]]</f>
        <v>1198732.4510228592</v>
      </c>
    </row>
    <row r="25" spans="1:6">
      <c r="A25" s="4" t="s">
        <v>5</v>
      </c>
      <c r="B25" s="1">
        <v>1265055</v>
      </c>
      <c r="C25" s="1">
        <v>1234176</v>
      </c>
      <c r="D25">
        <v>2019901.0848646483</v>
      </c>
      <c r="E25">
        <f>Table2[[#This Row],[quarter average]]/Sheet3!$D$2</f>
        <v>1.0375085653029199</v>
      </c>
      <c r="F25">
        <f>Table2[[#This Row],[GDP_CVM]]/Table2[[#This Row],[seasonal index]]</f>
        <v>1219320.0541247036</v>
      </c>
    </row>
    <row r="26" spans="1:6">
      <c r="A26" s="8" t="s">
        <v>2</v>
      </c>
      <c r="B26" s="1">
        <v>1259716</v>
      </c>
      <c r="C26" s="1">
        <v>1231096</v>
      </c>
      <c r="D26">
        <v>2001961.2401227143</v>
      </c>
      <c r="E26">
        <f>Table2[[#This Row],[quarter average]]/Sheet3!$D$2</f>
        <v>1.0282938850795027</v>
      </c>
      <c r="F26">
        <f>Table2[[#This Row],[GDP_CVM]]/Table2[[#This Row],[seasonal index]]</f>
        <v>1225054.4501707358</v>
      </c>
    </row>
    <row r="27" spans="1:6">
      <c r="A27" s="4" t="s">
        <v>3</v>
      </c>
      <c r="B27" s="1">
        <v>1206997</v>
      </c>
      <c r="C27" s="1">
        <v>1235950</v>
      </c>
      <c r="D27">
        <v>1888174.4788594004</v>
      </c>
      <c r="E27">
        <f>Table2[[#This Row],[quarter average]]/Sheet3!$D$2</f>
        <v>0.96984808280068591</v>
      </c>
      <c r="F27">
        <f>Table2[[#This Row],[GDP_CVM]]/Table2[[#This Row],[seasonal index]]</f>
        <v>1244521.7157252976</v>
      </c>
    </row>
    <row r="28" spans="1:6">
      <c r="A28" s="8" t="s">
        <v>4</v>
      </c>
      <c r="B28" s="1">
        <v>1246015</v>
      </c>
      <c r="C28" s="1">
        <v>1278567</v>
      </c>
      <c r="D28">
        <v>1877469.352403237</v>
      </c>
      <c r="E28">
        <f>Table2[[#This Row],[quarter average]]/Sheet3!$D$2</f>
        <v>0.9643494668168916</v>
      </c>
      <c r="F28">
        <f>Table2[[#This Row],[GDP_CVM]]/Table2[[#This Row],[seasonal index]]</f>
        <v>1292078.2795813899</v>
      </c>
    </row>
    <row r="29" spans="1:6">
      <c r="A29" s="4" t="s">
        <v>5</v>
      </c>
      <c r="B29" s="1">
        <v>1317543</v>
      </c>
      <c r="C29" s="1">
        <v>1286444</v>
      </c>
      <c r="D29">
        <v>2019901.0848646483</v>
      </c>
      <c r="E29">
        <f>Table2[[#This Row],[quarter average]]/Sheet3!$D$2</f>
        <v>1.0375085653029199</v>
      </c>
      <c r="F29">
        <f>Table2[[#This Row],[GDP_CVM]]/Table2[[#This Row],[seasonal index]]</f>
        <v>1269910.4798381291</v>
      </c>
    </row>
    <row r="30" spans="1:6">
      <c r="A30" s="8" t="s">
        <v>2</v>
      </c>
      <c r="B30" s="1">
        <v>1346757</v>
      </c>
      <c r="C30" s="1">
        <v>1312743</v>
      </c>
      <c r="D30">
        <v>2001961.2401227143</v>
      </c>
      <c r="E30">
        <f>Table2[[#This Row],[quarter average]]/Sheet3!$D$2</f>
        <v>1.0282938850795027</v>
      </c>
      <c r="F30">
        <f>Table2[[#This Row],[GDP_CVM]]/Table2[[#This Row],[seasonal index]]</f>
        <v>1309700.4849891481</v>
      </c>
    </row>
    <row r="31" spans="1:6">
      <c r="A31" s="4" t="s">
        <v>3</v>
      </c>
      <c r="B31" s="1">
        <v>1279194</v>
      </c>
      <c r="C31" s="1">
        <v>1310305</v>
      </c>
      <c r="D31">
        <v>1888174.4788594004</v>
      </c>
      <c r="E31">
        <f>Table2[[#This Row],[quarter average]]/Sheet3!$D$2</f>
        <v>0.96984808280068591</v>
      </c>
      <c r="F31">
        <f>Table2[[#This Row],[GDP_CVM]]/Table2[[#This Row],[seasonal index]]</f>
        <v>1318963.2713465784</v>
      </c>
    </row>
    <row r="32" spans="1:6">
      <c r="A32" s="8" t="s">
        <v>4</v>
      </c>
      <c r="B32" s="1">
        <v>1276273</v>
      </c>
      <c r="C32" s="1">
        <v>1311035</v>
      </c>
      <c r="D32">
        <v>1877469.352403237</v>
      </c>
      <c r="E32">
        <f>Table2[[#This Row],[quarter average]]/Sheet3!$D$2</f>
        <v>0.9643494668168916</v>
      </c>
      <c r="F32">
        <f>Table2[[#This Row],[GDP_CVM]]/Table2[[#This Row],[seasonal index]]</f>
        <v>1323454.8718243195</v>
      </c>
    </row>
    <row r="33" spans="1:6">
      <c r="A33" s="4" t="s">
        <v>5</v>
      </c>
      <c r="B33" s="1">
        <v>1352158</v>
      </c>
      <c r="C33" s="1">
        <v>1322086</v>
      </c>
      <c r="D33">
        <v>2019901.0848646483</v>
      </c>
      <c r="E33">
        <f>Table2[[#This Row],[quarter average]]/Sheet3!$D$2</f>
        <v>1.0375085653029199</v>
      </c>
      <c r="F33">
        <f>Table2[[#This Row],[GDP_CVM]]/Table2[[#This Row],[seasonal index]]</f>
        <v>1303274.0598196529</v>
      </c>
    </row>
    <row r="34" spans="1:6">
      <c r="A34" s="8" t="s">
        <v>2</v>
      </c>
      <c r="B34" s="1">
        <v>1378078</v>
      </c>
      <c r="C34" s="1">
        <v>1340916</v>
      </c>
      <c r="D34">
        <v>2001961.2401227143</v>
      </c>
      <c r="E34">
        <f>Table2[[#This Row],[quarter average]]/Sheet3!$D$2</f>
        <v>1.0282938850795027</v>
      </c>
      <c r="F34">
        <f>Table2[[#This Row],[GDP_CVM]]/Table2[[#This Row],[seasonal index]]</f>
        <v>1340159.6761352457</v>
      </c>
    </row>
    <row r="35" spans="1:6">
      <c r="A35" s="4" t="s">
        <v>3</v>
      </c>
      <c r="B35" s="1">
        <v>1326723</v>
      </c>
      <c r="C35" s="1">
        <v>1357226</v>
      </c>
      <c r="D35">
        <v>1888174.4788594004</v>
      </c>
      <c r="E35">
        <f>Table2[[#This Row],[quarter average]]/Sheet3!$D$2</f>
        <v>0.96984808280068591</v>
      </c>
      <c r="F35">
        <f>Table2[[#This Row],[GDP_CVM]]/Table2[[#This Row],[seasonal index]]</f>
        <v>1367969.9156271422</v>
      </c>
    </row>
    <row r="36" spans="1:6">
      <c r="A36" s="8" t="s">
        <v>4</v>
      </c>
      <c r="B36" s="1">
        <v>1322686</v>
      </c>
      <c r="C36" s="1">
        <v>1361128</v>
      </c>
      <c r="D36">
        <v>1877469.352403237</v>
      </c>
      <c r="E36">
        <f>Table2[[#This Row],[quarter average]]/Sheet3!$D$2</f>
        <v>0.9643494668168916</v>
      </c>
      <c r="F36">
        <f>Table2[[#This Row],[GDP_CVM]]/Table2[[#This Row],[seasonal index]]</f>
        <v>1371583.6898483487</v>
      </c>
    </row>
    <row r="37" spans="1:6">
      <c r="A37" s="4" t="s">
        <v>5</v>
      </c>
      <c r="B37" s="1">
        <v>1407869</v>
      </c>
      <c r="C37" s="1">
        <v>1377551</v>
      </c>
      <c r="D37">
        <v>2019901.0848646483</v>
      </c>
      <c r="E37">
        <f>Table2[[#This Row],[quarter average]]/Sheet3!$D$2</f>
        <v>1.0375085653029199</v>
      </c>
      <c r="F37">
        <f>Table2[[#This Row],[GDP_CVM]]/Table2[[#This Row],[seasonal index]]</f>
        <v>1356970.9659109623</v>
      </c>
    </row>
    <row r="38" spans="1:6">
      <c r="A38" s="8" t="s">
        <v>2</v>
      </c>
      <c r="B38" s="1">
        <v>1441030</v>
      </c>
      <c r="C38" s="1">
        <v>1401122</v>
      </c>
      <c r="D38">
        <v>2001961.2401227143</v>
      </c>
      <c r="E38">
        <f>Table2[[#This Row],[quarter average]]/Sheet3!$D$2</f>
        <v>1.0282938850795027</v>
      </c>
      <c r="F38">
        <f>Table2[[#This Row],[GDP_CVM]]/Table2[[#This Row],[seasonal index]]</f>
        <v>1401379.5286632348</v>
      </c>
    </row>
    <row r="39" spans="1:6">
      <c r="A39" s="4" t="s">
        <v>3</v>
      </c>
      <c r="B39" s="1">
        <v>1411214</v>
      </c>
      <c r="C39" s="1">
        <v>1441696</v>
      </c>
      <c r="D39">
        <v>1888174.4788594004</v>
      </c>
      <c r="E39">
        <f>Table2[[#This Row],[quarter average]]/Sheet3!$D$2</f>
        <v>0.96984808280068591</v>
      </c>
      <c r="F39">
        <f>Table2[[#This Row],[GDP_CVM]]/Table2[[#This Row],[seasonal index]]</f>
        <v>1455087.68334599</v>
      </c>
    </row>
    <row r="40" spans="1:6">
      <c r="A40" s="8" t="s">
        <v>4</v>
      </c>
      <c r="B40" s="1">
        <v>1414291</v>
      </c>
      <c r="C40" s="1">
        <v>1457612</v>
      </c>
      <c r="D40">
        <v>1877469.352403237</v>
      </c>
      <c r="E40">
        <f>Table2[[#This Row],[quarter average]]/Sheet3!$D$2</f>
        <v>0.9643494668168916</v>
      </c>
      <c r="F40">
        <f>Table2[[#This Row],[GDP_CVM]]/Table2[[#This Row],[seasonal index]]</f>
        <v>1466575.187383333</v>
      </c>
    </row>
    <row r="41" spans="1:6">
      <c r="A41" s="4" t="s">
        <v>5</v>
      </c>
      <c r="B41" s="1">
        <v>1503042</v>
      </c>
      <c r="C41" s="1">
        <v>1470469</v>
      </c>
      <c r="D41">
        <v>2019901.0848646483</v>
      </c>
      <c r="E41">
        <f>Table2[[#This Row],[quarter average]]/Sheet3!$D$2</f>
        <v>1.0375085653029199</v>
      </c>
      <c r="F41">
        <f>Table2[[#This Row],[GDP_CVM]]/Table2[[#This Row],[seasonal index]]</f>
        <v>1448703.2206439269</v>
      </c>
    </row>
    <row r="42" spans="1:6">
      <c r="A42" s="8" t="s">
        <v>2</v>
      </c>
      <c r="B42" s="1">
        <v>1550742</v>
      </c>
      <c r="C42" s="1">
        <v>1507410</v>
      </c>
      <c r="D42">
        <v>2001961.2401227143</v>
      </c>
      <c r="E42">
        <f>Table2[[#This Row],[quarter average]]/Sheet3!$D$2</f>
        <v>1.0282938850795027</v>
      </c>
      <c r="F42">
        <f>Table2[[#This Row],[GDP_CVM]]/Table2[[#This Row],[seasonal index]]</f>
        <v>1508072.7625644726</v>
      </c>
    </row>
    <row r="43" spans="1:6">
      <c r="A43" s="4" t="s">
        <v>3</v>
      </c>
      <c r="B43" s="1">
        <v>1500109</v>
      </c>
      <c r="C43" s="1">
        <v>1531805</v>
      </c>
      <c r="D43">
        <v>1888174.4788594004</v>
      </c>
      <c r="E43">
        <f>Table2[[#This Row],[quarter average]]/Sheet3!$D$2</f>
        <v>0.96984808280068591</v>
      </c>
      <c r="F43">
        <f>Table2[[#This Row],[GDP_CVM]]/Table2[[#This Row],[seasonal index]]</f>
        <v>1546746.3684292175</v>
      </c>
    </row>
    <row r="44" spans="1:6">
      <c r="A44" s="8" t="s">
        <v>4</v>
      </c>
      <c r="B44" s="1">
        <v>1511005</v>
      </c>
      <c r="C44" s="1">
        <v>1559613</v>
      </c>
      <c r="D44">
        <v>1877469.352403237</v>
      </c>
      <c r="E44">
        <f>Table2[[#This Row],[quarter average]]/Sheet3!$D$2</f>
        <v>0.9643494668168916</v>
      </c>
      <c r="F44">
        <f>Table2[[#This Row],[GDP_CVM]]/Table2[[#This Row],[seasonal index]]</f>
        <v>1566864.556878431</v>
      </c>
    </row>
    <row r="45" spans="1:6">
      <c r="A45" s="4" t="s">
        <v>5</v>
      </c>
      <c r="B45" s="1">
        <v>1622511</v>
      </c>
      <c r="C45" s="1">
        <v>1585088</v>
      </c>
      <c r="D45">
        <v>2019901.0848646483</v>
      </c>
      <c r="E45">
        <f>Table2[[#This Row],[quarter average]]/Sheet3!$D$2</f>
        <v>1.0375085653029199</v>
      </c>
      <c r="F45">
        <f>Table2[[#This Row],[GDP_CVM]]/Table2[[#This Row],[seasonal index]]</f>
        <v>1563853.1133728789</v>
      </c>
    </row>
    <row r="46" spans="1:6">
      <c r="A46" s="8" t="s">
        <v>2</v>
      </c>
      <c r="B46" s="1">
        <v>1651929</v>
      </c>
      <c r="C46" s="1">
        <v>1605528</v>
      </c>
      <c r="D46">
        <v>2001961.2401227143</v>
      </c>
      <c r="E46">
        <f>Table2[[#This Row],[quarter average]]/Sheet3!$D$2</f>
        <v>1.0282938850795027</v>
      </c>
      <c r="F46">
        <f>Table2[[#This Row],[GDP_CVM]]/Table2[[#This Row],[seasonal index]]</f>
        <v>1606475.5649813875</v>
      </c>
    </row>
    <row r="47" spans="1:6">
      <c r="A47" s="4" t="s">
        <v>3</v>
      </c>
      <c r="B47" s="1">
        <v>1594896</v>
      </c>
      <c r="C47" s="1">
        <v>1630311</v>
      </c>
      <c r="D47">
        <v>1888174.4788594004</v>
      </c>
      <c r="E47">
        <f>Table2[[#This Row],[quarter average]]/Sheet3!$D$2</f>
        <v>0.96984808280068591</v>
      </c>
      <c r="F47">
        <f>Table2[[#This Row],[GDP_CVM]]/Table2[[#This Row],[seasonal index]]</f>
        <v>1644480.2317846806</v>
      </c>
    </row>
    <row r="48" spans="1:6">
      <c r="A48" s="8" t="s">
        <v>4</v>
      </c>
      <c r="B48" s="1">
        <v>1596306</v>
      </c>
      <c r="C48" s="1">
        <v>1648705</v>
      </c>
      <c r="D48">
        <v>1877469.352403237</v>
      </c>
      <c r="E48">
        <f>Table2[[#This Row],[quarter average]]/Sheet3!$D$2</f>
        <v>0.9643494668168916</v>
      </c>
      <c r="F48">
        <f>Table2[[#This Row],[GDP_CVM]]/Table2[[#This Row],[seasonal index]]</f>
        <v>1655319.0051206849</v>
      </c>
    </row>
    <row r="49" spans="1:6">
      <c r="A49" s="4" t="s">
        <v>5</v>
      </c>
      <c r="B49" s="1">
        <v>1730192</v>
      </c>
      <c r="C49" s="1">
        <v>1687376</v>
      </c>
      <c r="D49">
        <v>2019901.0848646483</v>
      </c>
      <c r="E49">
        <f>Table2[[#This Row],[quarter average]]/Sheet3!$D$2</f>
        <v>1.0375085653029199</v>
      </c>
      <c r="F49">
        <f>Table2[[#This Row],[GDP_CVM]]/Table2[[#This Row],[seasonal index]]</f>
        <v>1667641.1721910348</v>
      </c>
    </row>
    <row r="50" spans="1:6">
      <c r="A50" s="8" t="s">
        <v>2</v>
      </c>
      <c r="B50" s="1">
        <v>1715539</v>
      </c>
      <c r="C50" s="1">
        <v>1667251</v>
      </c>
      <c r="D50">
        <v>2001961.2401227143</v>
      </c>
      <c r="E50">
        <f>Table2[[#This Row],[quarter average]]/Sheet3!$D$2</f>
        <v>1.0282938850795027</v>
      </c>
      <c r="F50">
        <f>Table2[[#This Row],[GDP_CVM]]/Table2[[#This Row],[seasonal index]]</f>
        <v>1668335.3123969641</v>
      </c>
    </row>
    <row r="51" spans="1:6">
      <c r="A51" s="4" t="s">
        <v>3</v>
      </c>
      <c r="B51" s="1">
        <v>1663994</v>
      </c>
      <c r="C51" s="1">
        <v>1703635</v>
      </c>
      <c r="D51">
        <v>1888174.4788594004</v>
      </c>
      <c r="E51">
        <f>Table2[[#This Row],[quarter average]]/Sheet3!$D$2</f>
        <v>0.96984808280068591</v>
      </c>
      <c r="F51">
        <f>Table2[[#This Row],[GDP_CVM]]/Table2[[#This Row],[seasonal index]]</f>
        <v>1715726.4416039151</v>
      </c>
    </row>
    <row r="52" spans="1:6">
      <c r="A52" s="8" t="s">
        <v>4</v>
      </c>
      <c r="B52" s="1">
        <v>1672102</v>
      </c>
      <c r="C52" s="1">
        <v>1727030</v>
      </c>
      <c r="D52">
        <v>1877469.352403237</v>
      </c>
      <c r="E52">
        <f>Table2[[#This Row],[quarter average]]/Sheet3!$D$2</f>
        <v>0.9643494668168916</v>
      </c>
      <c r="F52">
        <f>Table2[[#This Row],[GDP_CVM]]/Table2[[#This Row],[seasonal index]]</f>
        <v>1733917.0679683641</v>
      </c>
    </row>
    <row r="53" spans="1:6">
      <c r="A53" s="4" t="s">
        <v>5</v>
      </c>
      <c r="B53" s="1">
        <v>1796955</v>
      </c>
      <c r="C53" s="1">
        <v>1750093</v>
      </c>
      <c r="D53">
        <v>2019901.0848646483</v>
      </c>
      <c r="E53">
        <f>Table2[[#This Row],[quarter average]]/Sheet3!$D$2</f>
        <v>1.0375085653029199</v>
      </c>
      <c r="F53">
        <f>Table2[[#This Row],[GDP_CVM]]/Table2[[#This Row],[seasonal index]]</f>
        <v>1731990.5204593136</v>
      </c>
    </row>
    <row r="54" spans="1:6">
      <c r="A54" s="8" t="s">
        <v>2</v>
      </c>
      <c r="B54" s="1">
        <v>1810063</v>
      </c>
      <c r="C54" s="1">
        <v>1759029</v>
      </c>
      <c r="D54">
        <v>2001961.2401227143</v>
      </c>
      <c r="E54">
        <f>Table2[[#This Row],[quarter average]]/Sheet3!$D$2</f>
        <v>1.0282938850795027</v>
      </c>
      <c r="F54">
        <f>Table2[[#This Row],[GDP_CVM]]/Table2[[#This Row],[seasonal index]]</f>
        <v>1760258.4497135803</v>
      </c>
    </row>
    <row r="55" spans="1:6">
      <c r="A55" s="4" t="s">
        <v>3</v>
      </c>
      <c r="B55" s="1">
        <v>1738304</v>
      </c>
      <c r="C55" s="1">
        <v>1782039</v>
      </c>
      <c r="D55">
        <v>1888174.4788594004</v>
      </c>
      <c r="E55">
        <f>Table2[[#This Row],[quarter average]]/Sheet3!$D$2</f>
        <v>0.96984808280068591</v>
      </c>
      <c r="F55">
        <f>Table2[[#This Row],[GDP_CVM]]/Table2[[#This Row],[seasonal index]]</f>
        <v>1792346.688957924</v>
      </c>
    </row>
    <row r="56" spans="1:6">
      <c r="A56" s="8" t="s">
        <v>4</v>
      </c>
      <c r="B56" s="1">
        <v>1746759</v>
      </c>
      <c r="C56" s="1">
        <v>1803808</v>
      </c>
      <c r="D56">
        <v>1877469.352403237</v>
      </c>
      <c r="E56">
        <f>Table2[[#This Row],[quarter average]]/Sheet3!$D$2</f>
        <v>0.9643494668168916</v>
      </c>
      <c r="F56">
        <f>Table2[[#This Row],[GDP_CVM]]/Table2[[#This Row],[seasonal index]]</f>
        <v>1811334.0237182612</v>
      </c>
    </row>
    <row r="57" spans="1:6">
      <c r="A57" s="4" t="s">
        <v>5</v>
      </c>
      <c r="B57" s="1">
        <v>1893689</v>
      </c>
      <c r="C57" s="1">
        <v>1843868</v>
      </c>
      <c r="D57">
        <v>2019901.0848646483</v>
      </c>
      <c r="E57">
        <f>Table2[[#This Row],[quarter average]]/Sheet3!$D$2</f>
        <v>1.0375085653029199</v>
      </c>
      <c r="F57">
        <f>Table2[[#This Row],[GDP_CVM]]/Table2[[#This Row],[seasonal index]]</f>
        <v>1825227.3410842658</v>
      </c>
    </row>
    <row r="58" spans="1:6">
      <c r="A58" s="8" t="s">
        <v>2</v>
      </c>
      <c r="B58" s="1">
        <v>1928792</v>
      </c>
      <c r="C58" s="1">
        <v>1872883</v>
      </c>
      <c r="D58">
        <v>2001961.2401227143</v>
      </c>
      <c r="E58">
        <f>Table2[[#This Row],[quarter average]]/Sheet3!$D$2</f>
        <v>1.0282938850795027</v>
      </c>
      <c r="F58">
        <f>Table2[[#This Row],[GDP_CVM]]/Table2[[#This Row],[seasonal index]]</f>
        <v>1875720.5775378847</v>
      </c>
    </row>
    <row r="59" spans="1:6">
      <c r="A59" s="4" t="s">
        <v>3</v>
      </c>
      <c r="B59" s="1">
        <v>1829463</v>
      </c>
      <c r="C59" s="1">
        <v>1876656</v>
      </c>
      <c r="D59">
        <v>1888174.4788594004</v>
      </c>
      <c r="E59">
        <f>Table2[[#This Row],[quarter average]]/Sheet3!$D$2</f>
        <v>0.96984808280068591</v>
      </c>
      <c r="F59">
        <f>Table2[[#This Row],[GDP_CVM]]/Table2[[#This Row],[seasonal index]]</f>
        <v>1886339.7602611687</v>
      </c>
    </row>
    <row r="60" spans="1:6">
      <c r="A60" s="8" t="s">
        <v>4</v>
      </c>
      <c r="B60" s="1">
        <v>1842192</v>
      </c>
      <c r="C60" s="1">
        <v>1902482</v>
      </c>
      <c r="D60">
        <v>1877469.352403237</v>
      </c>
      <c r="E60">
        <f>Table2[[#This Row],[quarter average]]/Sheet3!$D$2</f>
        <v>0.9643494668168916</v>
      </c>
      <c r="F60">
        <f>Table2[[#This Row],[GDP_CVM]]/Table2[[#This Row],[seasonal index]]</f>
        <v>1910295.0365915338</v>
      </c>
    </row>
    <row r="61" spans="1:6">
      <c r="A61" s="4" t="s">
        <v>5</v>
      </c>
      <c r="B61" s="1">
        <v>1979091</v>
      </c>
      <c r="C61" s="1">
        <v>1930168</v>
      </c>
      <c r="D61">
        <v>2019901.0848646483</v>
      </c>
      <c r="E61">
        <f>Table2[[#This Row],[quarter average]]/Sheet3!$D$2</f>
        <v>1.0375085653029199</v>
      </c>
      <c r="F61">
        <f>Table2[[#This Row],[GDP_CVM]]/Table2[[#This Row],[seasonal index]]</f>
        <v>1907541.842242206</v>
      </c>
    </row>
    <row r="62" spans="1:6">
      <c r="A62" s="8" t="s">
        <v>2</v>
      </c>
      <c r="B62" s="1">
        <v>1992940</v>
      </c>
      <c r="C62" s="1">
        <v>1929934</v>
      </c>
      <c r="D62">
        <v>2001961.2401227143</v>
      </c>
      <c r="E62">
        <f>Table2[[#This Row],[quarter average]]/Sheet3!$D$2</f>
        <v>1.0282938850795027</v>
      </c>
      <c r="F62">
        <f>Table2[[#This Row],[GDP_CVM]]/Table2[[#This Row],[seasonal index]]</f>
        <v>1938103.5216852578</v>
      </c>
    </row>
    <row r="63" spans="1:6">
      <c r="A63" s="4" t="s">
        <v>3</v>
      </c>
      <c r="B63" s="1">
        <v>1893939</v>
      </c>
      <c r="C63" s="1">
        <v>1943261</v>
      </c>
      <c r="D63">
        <v>1888174.4788594004</v>
      </c>
      <c r="E63">
        <f>Table2[[#This Row],[quarter average]]/Sheet3!$D$2</f>
        <v>0.96984808280068591</v>
      </c>
      <c r="F63">
        <f>Table2[[#This Row],[GDP_CVM]]/Table2[[#This Row],[seasonal index]]</f>
        <v>1952820.2752443082</v>
      </c>
    </row>
    <row r="64" spans="1:6">
      <c r="A64" s="8" t="s">
        <v>4</v>
      </c>
      <c r="B64" s="1">
        <v>1883585</v>
      </c>
      <c r="C64" s="1">
        <v>1947130</v>
      </c>
      <c r="D64">
        <v>1877469.352403237</v>
      </c>
      <c r="E64">
        <f>Table2[[#This Row],[quarter average]]/Sheet3!$D$2</f>
        <v>0.9643494668168916</v>
      </c>
      <c r="F64">
        <f>Table2[[#This Row],[GDP_CVM]]/Table2[[#This Row],[seasonal index]]</f>
        <v>1953218.272850096</v>
      </c>
    </row>
    <row r="65" spans="1:6">
      <c r="A65" s="4" t="s">
        <v>5</v>
      </c>
      <c r="B65" s="1">
        <v>1939874</v>
      </c>
      <c r="C65" s="1">
        <v>1896809</v>
      </c>
      <c r="D65">
        <v>2019901.0848646483</v>
      </c>
      <c r="E65">
        <f>Table2[[#This Row],[quarter average]]/Sheet3!$D$2</f>
        <v>1.0375085653029199</v>
      </c>
      <c r="F65">
        <f>Table2[[#This Row],[GDP_CVM]]/Table2[[#This Row],[seasonal index]]</f>
        <v>1869742.6362293384</v>
      </c>
    </row>
    <row r="66" spans="1:6">
      <c r="A66" s="8" t="s">
        <v>2</v>
      </c>
      <c r="B66" s="1">
        <v>1907673</v>
      </c>
      <c r="C66" s="1">
        <v>1840468</v>
      </c>
      <c r="D66">
        <v>2001961.2401227143</v>
      </c>
      <c r="E66">
        <f>Table2[[#This Row],[quarter average]]/Sheet3!$D$2</f>
        <v>1.0282938850795027</v>
      </c>
      <c r="F66">
        <f>Table2[[#This Row],[GDP_CVM]]/Table2[[#This Row],[seasonal index]]</f>
        <v>1855182.6746032902</v>
      </c>
    </row>
    <row r="67" spans="1:6">
      <c r="A67" s="4" t="s">
        <v>3</v>
      </c>
      <c r="B67" s="1">
        <v>1836030</v>
      </c>
      <c r="C67" s="1">
        <v>1882567</v>
      </c>
      <c r="D67">
        <v>1888174.4788594004</v>
      </c>
      <c r="E67">
        <f>Table2[[#This Row],[quarter average]]/Sheet3!$D$2</f>
        <v>0.96984808280068591</v>
      </c>
      <c r="F67">
        <f>Table2[[#This Row],[GDP_CVM]]/Table2[[#This Row],[seasonal index]]</f>
        <v>1893110.9238242663</v>
      </c>
    </row>
    <row r="68" spans="1:6">
      <c r="A68" s="8" t="s">
        <v>4</v>
      </c>
      <c r="B68" s="1">
        <v>1874133</v>
      </c>
      <c r="C68" s="1">
        <v>1942165</v>
      </c>
      <c r="D68">
        <v>1877469.352403237</v>
      </c>
      <c r="E68">
        <f>Table2[[#This Row],[quarter average]]/Sheet3!$D$2</f>
        <v>0.9643494668168916</v>
      </c>
      <c r="F68">
        <f>Table2[[#This Row],[GDP_CVM]]/Table2[[#This Row],[seasonal index]]</f>
        <v>1943416.8467849176</v>
      </c>
    </row>
    <row r="69" spans="1:6">
      <c r="A69" s="4" t="s">
        <v>5</v>
      </c>
      <c r="B69" s="1">
        <v>2039253</v>
      </c>
      <c r="C69" s="1">
        <v>1998349</v>
      </c>
      <c r="D69">
        <v>2019901.0848646483</v>
      </c>
      <c r="E69">
        <f>Table2[[#This Row],[quarter average]]/Sheet3!$D$2</f>
        <v>1.0375085653029199</v>
      </c>
      <c r="F69">
        <f>Table2[[#This Row],[GDP_CVM]]/Table2[[#This Row],[seasonal index]]</f>
        <v>1965528.8333977293</v>
      </c>
    </row>
    <row r="70" spans="1:6">
      <c r="A70" s="8" t="s">
        <v>2</v>
      </c>
      <c r="B70" s="1">
        <v>2139668</v>
      </c>
      <c r="C70" s="1">
        <v>2056192</v>
      </c>
      <c r="D70">
        <v>2001961.2401227143</v>
      </c>
      <c r="E70">
        <f>Table2[[#This Row],[quarter average]]/Sheet3!$D$2</f>
        <v>1.0282938850795027</v>
      </c>
      <c r="F70">
        <f>Table2[[#This Row],[GDP_CVM]]/Table2[[#This Row],[seasonal index]]</f>
        <v>2080794.2467095107</v>
      </c>
    </row>
    <row r="71" spans="1:6">
      <c r="A71" s="4" t="s">
        <v>3</v>
      </c>
      <c r="B71" s="1">
        <v>2000920</v>
      </c>
      <c r="C71" s="1">
        <v>2050009</v>
      </c>
      <c r="D71">
        <v>1888174.4788594004</v>
      </c>
      <c r="E71">
        <f>Table2[[#This Row],[quarter average]]/Sheet3!$D$2</f>
        <v>0.96984808280068591</v>
      </c>
      <c r="F71">
        <f>Table2[[#This Row],[GDP_CVM]]/Table2[[#This Row],[seasonal index]]</f>
        <v>2063127.2417653583</v>
      </c>
    </row>
    <row r="72" spans="1:6">
      <c r="A72" s="8" t="s">
        <v>4</v>
      </c>
      <c r="B72" s="1">
        <v>1982245</v>
      </c>
      <c r="C72" s="1">
        <v>2061032</v>
      </c>
      <c r="D72">
        <v>1877469.352403237</v>
      </c>
      <c r="E72">
        <f>Table2[[#This Row],[quarter average]]/Sheet3!$D$2</f>
        <v>0.9643494668168916</v>
      </c>
      <c r="F72">
        <f>Table2[[#This Row],[GDP_CVM]]/Table2[[#This Row],[seasonal index]]</f>
        <v>2055525.5830056719</v>
      </c>
    </row>
    <row r="73" spans="1:6">
      <c r="A73" s="4" t="s">
        <v>5</v>
      </c>
      <c r="B73" s="1">
        <v>2109563</v>
      </c>
      <c r="C73" s="1">
        <v>2069569</v>
      </c>
      <c r="D73">
        <v>2019901.0848646483</v>
      </c>
      <c r="E73">
        <f>Table2[[#This Row],[quarter average]]/Sheet3!$D$2</f>
        <v>1.0375085653029199</v>
      </c>
      <c r="F73">
        <f>Table2[[#This Row],[GDP_CVM]]/Table2[[#This Row],[seasonal index]]</f>
        <v>2033296.9486223701</v>
      </c>
    </row>
    <row r="74" spans="1:6">
      <c r="A74" s="8" t="s">
        <v>2</v>
      </c>
      <c r="B74" s="1">
        <v>2209743</v>
      </c>
      <c r="C74" s="1">
        <v>2116329</v>
      </c>
      <c r="D74">
        <v>2001961.2401227143</v>
      </c>
      <c r="E74">
        <f>Table2[[#This Row],[quarter average]]/Sheet3!$D$2</f>
        <v>1.0282938850795027</v>
      </c>
      <c r="F74">
        <f>Table2[[#This Row],[GDP_CVM]]/Table2[[#This Row],[seasonal index]]</f>
        <v>2148941.1072683306</v>
      </c>
    </row>
    <row r="75" spans="1:6">
      <c r="A75" s="4" t="s">
        <v>3</v>
      </c>
      <c r="B75" s="1">
        <v>2037494</v>
      </c>
      <c r="C75" s="1">
        <v>2086229</v>
      </c>
      <c r="D75">
        <v>1888174.4788594004</v>
      </c>
      <c r="E75">
        <f>Table2[[#This Row],[quarter average]]/Sheet3!$D$2</f>
        <v>0.96984808280068591</v>
      </c>
      <c r="F75">
        <f>Table2[[#This Row],[GDP_CVM]]/Table2[[#This Row],[seasonal index]]</f>
        <v>2100838.3025475615</v>
      </c>
    </row>
    <row r="76" spans="1:6">
      <c r="A76" s="8" t="s">
        <v>4</v>
      </c>
      <c r="B76" s="1">
        <v>2029932</v>
      </c>
      <c r="C76" s="1">
        <v>2118250</v>
      </c>
      <c r="D76">
        <v>1877469.352403237</v>
      </c>
      <c r="E76">
        <f>Table2[[#This Row],[quarter average]]/Sheet3!$D$2</f>
        <v>0.9643494668168916</v>
      </c>
      <c r="F76">
        <f>Table2[[#This Row],[GDP_CVM]]/Table2[[#This Row],[seasonal index]]</f>
        <v>2104975.4988721726</v>
      </c>
    </row>
    <row r="77" spans="1:6">
      <c r="A77" s="4" t="s">
        <v>5</v>
      </c>
      <c r="B77" s="1">
        <v>2024390</v>
      </c>
      <c r="C77" s="1">
        <v>1985255</v>
      </c>
      <c r="D77">
        <v>2019901.0848646483</v>
      </c>
      <c r="E77">
        <f>Table2[[#This Row],[quarter average]]/Sheet3!$D$2</f>
        <v>1.0375085653029199</v>
      </c>
      <c r="F77">
        <f>Table2[[#This Row],[GDP_CVM]]/Table2[[#This Row],[seasonal index]]</f>
        <v>1951203.1685337862</v>
      </c>
    </row>
    <row r="78" spans="1:6">
      <c r="A78" s="8" t="s">
        <v>2</v>
      </c>
      <c r="B78" s="1">
        <v>2272805</v>
      </c>
      <c r="C78" s="1">
        <v>2171512</v>
      </c>
      <c r="D78">
        <v>2001961.2401227143</v>
      </c>
      <c r="E78">
        <f>Table2[[#This Row],[quarter average]]/Sheet3!$D$2</f>
        <v>1.0282938850795027</v>
      </c>
      <c r="F78">
        <f>Table2[[#This Row],[GDP_CVM]]/Table2[[#This Row],[seasonal index]]</f>
        <v>2210267.9331057947</v>
      </c>
    </row>
    <row r="79" spans="1:6">
      <c r="A79" s="4" t="s">
        <v>3</v>
      </c>
      <c r="B79" s="1">
        <v>2160308</v>
      </c>
      <c r="C79" s="1">
        <v>2212813</v>
      </c>
      <c r="D79">
        <v>1888174.4788594004</v>
      </c>
      <c r="E79">
        <f>Table2[[#This Row],[quarter average]]/Sheet3!$D$2</f>
        <v>0.96984808280068591</v>
      </c>
      <c r="F79">
        <f>Table2[[#This Row],[GDP_CVM]]/Table2[[#This Row],[seasonal index]]</f>
        <v>2227470.5062689353</v>
      </c>
    </row>
    <row r="80" spans="1:6">
      <c r="A80" s="8" t="s">
        <v>4</v>
      </c>
      <c r="B80" s="1">
        <v>2132192</v>
      </c>
      <c r="C80" s="1">
        <v>2230645</v>
      </c>
      <c r="D80">
        <v>1877469.352403237</v>
      </c>
      <c r="E80">
        <f>Table2[[#This Row],[quarter average]]/Sheet3!$D$2</f>
        <v>0.9643494668168916</v>
      </c>
      <c r="F80">
        <f>Table2[[#This Row],[GDP_CVM]]/Table2[[#This Row],[seasonal index]]</f>
        <v>2211015.8955527847</v>
      </c>
    </row>
    <row r="81" spans="1:6">
      <c r="A81" s="4" t="s">
        <v>5</v>
      </c>
      <c r="B81" s="1">
        <v>2337519</v>
      </c>
      <c r="C81" s="1">
        <v>2288897</v>
      </c>
      <c r="D81">
        <v>2019901.0848646483</v>
      </c>
      <c r="E81">
        <f>Table2[[#This Row],[quarter average]]/Sheet3!$D$2</f>
        <v>1.0375085653029199</v>
      </c>
      <c r="F81">
        <f>Table2[[#This Row],[GDP_CVM]]/Table2[[#This Row],[seasonal index]]</f>
        <v>2253011.7612258149</v>
      </c>
    </row>
    <row r="82" spans="1:6">
      <c r="A82" s="8" t="s">
        <v>2</v>
      </c>
      <c r="B82" s="1">
        <v>2395328</v>
      </c>
      <c r="C82" s="1">
        <v>2287227</v>
      </c>
      <c r="D82">
        <v>2001961.2401227143</v>
      </c>
      <c r="E82">
        <f>Table2[[#This Row],[quarter average]]/Sheet3!$D$2</f>
        <v>1.0282938850795027</v>
      </c>
      <c r="F82">
        <f>Table2[[#This Row],[GDP_CVM]]/Table2[[#This Row],[seasonal index]]</f>
        <v>2329419.6676223595</v>
      </c>
    </row>
    <row r="83" spans="1:6">
      <c r="A83" s="4" t="s">
        <v>3</v>
      </c>
      <c r="B83" s="1">
        <v>2219187</v>
      </c>
      <c r="C83" s="1">
        <v>2273917</v>
      </c>
      <c r="D83">
        <v>1888174.4788594004</v>
      </c>
      <c r="E83">
        <f>Table2[[#This Row],[quarter average]]/Sheet3!$D$2</f>
        <v>0.96984808280068591</v>
      </c>
      <c r="F83">
        <f>Table2[[#This Row],[GDP_CVM]]/Table2[[#This Row],[seasonal index]]</f>
        <v>2288180.0143291787</v>
      </c>
    </row>
    <row r="84" spans="1:6">
      <c r="A84" s="8" t="s">
        <v>4</v>
      </c>
      <c r="B84" s="1">
        <v>2185277</v>
      </c>
      <c r="C84" s="1">
        <v>2289937</v>
      </c>
      <c r="D84">
        <v>1877469.352403237</v>
      </c>
      <c r="E84">
        <f>Table2[[#This Row],[quarter average]]/Sheet3!$D$2</f>
        <v>0.9643494668168916</v>
      </c>
      <c r="F84">
        <f>Table2[[#This Row],[GDP_CVM]]/Table2[[#This Row],[seasonal index]]</f>
        <v>2266063.3672698811</v>
      </c>
    </row>
    <row r="85" spans="1:6">
      <c r="A85" s="4" t="s">
        <v>5</v>
      </c>
      <c r="B85" s="1">
        <v>2342295</v>
      </c>
      <c r="C85" s="1">
        <v>2288665</v>
      </c>
      <c r="D85">
        <v>2019901.0848646483</v>
      </c>
      <c r="E85">
        <f>Table2[[#This Row],[quarter average]]/Sheet3!$D$2</f>
        <v>1.0375085653029199</v>
      </c>
      <c r="F85">
        <f>Table2[[#This Row],[GDP_CVM]]/Table2[[#This Row],[seasonal index]]</f>
        <v>2257615.0967159714</v>
      </c>
    </row>
    <row r="86" spans="1:6">
      <c r="A86" s="8" t="s">
        <v>2</v>
      </c>
      <c r="B86" s="1">
        <v>2386444.0339780268</v>
      </c>
      <c r="C86" s="1">
        <v>2280152</v>
      </c>
      <c r="D86">
        <v>2001961.2401227143</v>
      </c>
      <c r="E86">
        <f>Table2[[#This Row],[quarter average]]/Sheet3!$D$2</f>
        <v>1.0282938850795027</v>
      </c>
      <c r="F86">
        <f>Table2[[#This Row],[GDP_CVM]]/Table2[[#This Row],[seasonal index]]</f>
        <v>2320780.1471984037</v>
      </c>
    </row>
    <row r="87" spans="1:6">
      <c r="A87" s="4" t="s">
        <v>3</v>
      </c>
      <c r="B87" s="1">
        <v>2237767.9695609356</v>
      </c>
      <c r="C87" s="1">
        <v>2294352</v>
      </c>
      <c r="D87">
        <v>1888174.4788594004</v>
      </c>
      <c r="E87">
        <f>Table2[[#This Row],[quarter average]]/Sheet3!$D$2</f>
        <v>0.96984808280068591</v>
      </c>
      <c r="F87">
        <f>Table2[[#This Row],[GDP_CVM]]/Table2[[#This Row],[seasonal index]]</f>
        <v>2307338.653594906</v>
      </c>
    </row>
    <row r="88" spans="1:6">
      <c r="A88" s="8" t="s">
        <v>4</v>
      </c>
      <c r="B88" s="1">
        <v>2208911.9570584497</v>
      </c>
      <c r="C88" s="1">
        <v>2315589</v>
      </c>
      <c r="D88">
        <v>1877469.352403237</v>
      </c>
      <c r="E88">
        <f>Table2[[#This Row],[quarter average]]/Sheet3!$D$2</f>
        <v>0.9643494668168916</v>
      </c>
      <c r="F88">
        <f>Table2[[#This Row],[GDP_CVM]]/Table2[[#This Row],[seasonal index]]</f>
        <v>2290572.0727461893</v>
      </c>
    </row>
    <row r="89" spans="1:6">
      <c r="A89" s="4" t="s">
        <v>5</v>
      </c>
      <c r="B89" s="1">
        <v>2398964.0394025878</v>
      </c>
      <c r="C89" s="1">
        <v>2340555</v>
      </c>
      <c r="D89">
        <v>2019901.0848646483</v>
      </c>
      <c r="E89">
        <f>Table2[[#This Row],[quarter average]]/Sheet3!$D$2</f>
        <v>1.0375085653029199</v>
      </c>
      <c r="F89">
        <f>Table2[[#This Row],[GDP_CVM]]/Table2[[#This Row],[seasonal index]]</f>
        <v>2312235.4066562965</v>
      </c>
    </row>
    <row r="90" spans="1:6">
      <c r="A90" s="8" t="s">
        <v>2</v>
      </c>
      <c r="B90" s="1">
        <v>2459674.6499488312</v>
      </c>
      <c r="C90" s="1">
        <v>2351840</v>
      </c>
      <c r="D90">
        <v>2001961.2401227143</v>
      </c>
      <c r="E90">
        <f>Table2[[#This Row],[quarter average]]/Sheet3!$D$2</f>
        <v>1.0282938850795027</v>
      </c>
      <c r="F90">
        <f>Table2[[#This Row],[GDP_CVM]]/Table2[[#This Row],[seasonal index]]</f>
        <v>2391995.7957920376</v>
      </c>
    </row>
    <row r="91" spans="1:6">
      <c r="A91" s="4" t="s">
        <v>3</v>
      </c>
      <c r="B91" s="1">
        <v>2303095.3539398797</v>
      </c>
      <c r="C91" s="1">
        <v>2361909</v>
      </c>
      <c r="D91">
        <v>1888174.4788594004</v>
      </c>
      <c r="E91">
        <f>Table2[[#This Row],[quarter average]]/Sheet3!$D$2</f>
        <v>0.96984808280068591</v>
      </c>
      <c r="F91">
        <f>Table2[[#This Row],[GDP_CVM]]/Table2[[#This Row],[seasonal index]]</f>
        <v>2374697.0219182153</v>
      </c>
    </row>
    <row r="92" spans="1:6">
      <c r="A92" s="8" t="s">
        <v>4</v>
      </c>
      <c r="B92" s="1">
        <v>2285060.3198451321</v>
      </c>
      <c r="C92" s="1">
        <v>2396348</v>
      </c>
      <c r="D92">
        <v>1877469.352403237</v>
      </c>
      <c r="E92">
        <f>Table2[[#This Row],[quarter average]]/Sheet3!$D$2</f>
        <v>0.9643494668168916</v>
      </c>
      <c r="F92">
        <f>Table2[[#This Row],[GDP_CVM]]/Table2[[#This Row],[seasonal index]]</f>
        <v>2369535.5246968926</v>
      </c>
    </row>
    <row r="93" spans="1:6">
      <c r="A93" s="4" t="s">
        <v>5</v>
      </c>
      <c r="B93" s="1">
        <v>2473595.6762661571</v>
      </c>
      <c r="C93" s="1">
        <v>2411147</v>
      </c>
      <c r="D93">
        <v>2019901.0848646483</v>
      </c>
      <c r="E93">
        <f>Table2[[#This Row],[quarter average]]/Sheet3!$D$2</f>
        <v>1.0375085653029199</v>
      </c>
      <c r="F93">
        <f>Table2[[#This Row],[GDP_CVM]]/Table2[[#This Row],[seasonal index]]</f>
        <v>2384168.9206141108</v>
      </c>
    </row>
    <row r="94" spans="1:6">
      <c r="A94" s="8" t="s">
        <v>2</v>
      </c>
      <c r="B94" s="1">
        <v>2541549</v>
      </c>
      <c r="C94" s="1">
        <v>2430206</v>
      </c>
      <c r="D94">
        <v>2001961.2401227143</v>
      </c>
      <c r="E94">
        <f>Table2[[#This Row],[quarter average]]/Sheet3!$D$2</f>
        <v>1.0282938850795027</v>
      </c>
      <c r="F94">
        <f>Table2[[#This Row],[GDP_CVM]]/Table2[[#This Row],[seasonal index]]</f>
        <v>2471617.3429383952</v>
      </c>
    </row>
    <row r="95" spans="1:6">
      <c r="A95" s="4" t="s">
        <v>3</v>
      </c>
      <c r="B95" s="1">
        <v>2390876</v>
      </c>
      <c r="C95" s="1">
        <v>2453261</v>
      </c>
      <c r="D95">
        <v>1888174.4788594004</v>
      </c>
      <c r="E95">
        <f>Table2[[#This Row],[quarter average]]/Sheet3!$D$2</f>
        <v>0.96984808280068591</v>
      </c>
      <c r="F95">
        <f>Table2[[#This Row],[GDP_CVM]]/Table2[[#This Row],[seasonal index]]</f>
        <v>2465206.708555561</v>
      </c>
    </row>
    <row r="96" spans="1:6">
      <c r="A96" s="8" t="s">
        <v>4</v>
      </c>
      <c r="B96" s="1">
        <v>2357971</v>
      </c>
      <c r="C96" s="1">
        <v>2474203</v>
      </c>
      <c r="D96">
        <v>1877469.352403237</v>
      </c>
      <c r="E96">
        <f>Table2[[#This Row],[quarter average]]/Sheet3!$D$2</f>
        <v>0.9643494668168916</v>
      </c>
      <c r="F96">
        <f>Table2[[#This Row],[GDP_CVM]]/Table2[[#This Row],[seasonal index]]</f>
        <v>2445141.6018128269</v>
      </c>
    </row>
    <row r="97" spans="1:6">
      <c r="A97" s="4" t="s">
        <v>5</v>
      </c>
      <c r="B97" s="1">
        <v>2558106</v>
      </c>
      <c r="C97" s="1">
        <v>2490699</v>
      </c>
      <c r="D97">
        <v>2019901.0848646483</v>
      </c>
      <c r="E97">
        <f>Table2[[#This Row],[quarter average]]/Sheet3!$D$2</f>
        <v>1.0375085653029199</v>
      </c>
      <c r="F97">
        <f>Table2[[#This Row],[GDP_CVM]]/Table2[[#This Row],[seasonal index]]</f>
        <v>2465623.9818638158</v>
      </c>
    </row>
    <row r="98" spans="1:6">
      <c r="A98" s="8" t="s">
        <v>2</v>
      </c>
      <c r="B98" s="1">
        <v>2638918</v>
      </c>
      <c r="C98" s="1">
        <v>2523151</v>
      </c>
      <c r="D98">
        <v>2001961.2401227143</v>
      </c>
      <c r="E98">
        <f>Table2[[#This Row],[quarter average]]/Sheet3!$D$2</f>
        <v>1.0282938850795027</v>
      </c>
      <c r="F98">
        <f>Table2[[#This Row],[GDP_CVM]]/Table2[[#This Row],[seasonal index]]</f>
        <v>2566307.1990318913</v>
      </c>
    </row>
    <row r="99" spans="1:6">
      <c r="A99" s="4" t="s">
        <v>3</v>
      </c>
      <c r="B99" s="1">
        <v>2494793</v>
      </c>
      <c r="C99" s="1">
        <v>2561275</v>
      </c>
      <c r="D99">
        <v>1888174.4788594004</v>
      </c>
      <c r="E99">
        <f>Table2[[#This Row],[quarter average]]/Sheet3!$D$2</f>
        <v>0.96984808280068591</v>
      </c>
      <c r="F99">
        <f>Table2[[#This Row],[GDP_CVM]]/Table2[[#This Row],[seasonal index]]</f>
        <v>2572354.4174007573</v>
      </c>
    </row>
    <row r="100" spans="1:6">
      <c r="A100" s="8" t="s">
        <v>4</v>
      </c>
      <c r="B100" s="1">
        <v>2463648</v>
      </c>
      <c r="C100" s="1">
        <v>2588944</v>
      </c>
      <c r="D100">
        <v>1877469.352403237</v>
      </c>
      <c r="E100">
        <f>Table2[[#This Row],[quarter average]]/Sheet3!$D$2</f>
        <v>0.9643494668168916</v>
      </c>
      <c r="F100">
        <f>Table2[[#This Row],[GDP_CVM]]/Table2[[#This Row],[seasonal index]]</f>
        <v>2554725.3197867861</v>
      </c>
    </row>
    <row r="101" spans="1:6">
      <c r="A101" s="4" t="s">
        <v>5</v>
      </c>
      <c r="B101" s="1">
        <v>2662582</v>
      </c>
      <c r="C101" s="1">
        <v>2586924</v>
      </c>
      <c r="D101">
        <v>2019901.0848646483</v>
      </c>
      <c r="E101">
        <f>Table2[[#This Row],[quarter average]]/Sheet3!$D$2</f>
        <v>1.0375085653029199</v>
      </c>
      <c r="F101">
        <f>Table2[[#This Row],[GDP_CVM]]/Table2[[#This Row],[seasonal index]]</f>
        <v>2566322.9095584475</v>
      </c>
    </row>
    <row r="102" spans="1:6">
      <c r="A102" s="8" t="s">
        <v>2</v>
      </c>
      <c r="B102" s="1">
        <v>2772274</v>
      </c>
      <c r="C102" s="1">
        <v>2650195</v>
      </c>
      <c r="D102">
        <v>2001961.2401227143</v>
      </c>
      <c r="E102">
        <f>Table2[[#This Row],[quarter average]]/Sheet3!$D$2</f>
        <v>1.0282938850795027</v>
      </c>
      <c r="F102">
        <f>Table2[[#This Row],[GDP_CVM]]/Table2[[#This Row],[seasonal index]]</f>
        <v>2695993.8595624939</v>
      </c>
    </row>
    <row r="103" spans="1:6">
      <c r="A103" s="4" t="s">
        <v>3</v>
      </c>
      <c r="B103" s="1">
        <v>2610783</v>
      </c>
      <c r="C103" s="1">
        <v>2683059</v>
      </c>
      <c r="D103">
        <v>1888174.4788594004</v>
      </c>
      <c r="E103">
        <f>Table2[[#This Row],[quarter average]]/Sheet3!$D$2</f>
        <v>0.96984808280068591</v>
      </c>
      <c r="F103">
        <f>Table2[[#This Row],[GDP_CVM]]/Table2[[#This Row],[seasonal index]]</f>
        <v>2691950.467603846</v>
      </c>
    </row>
    <row r="104" spans="1:6">
      <c r="A104" s="8" t="s">
        <v>4</v>
      </c>
      <c r="B104" s="1">
        <v>2543414</v>
      </c>
      <c r="C104" s="1">
        <v>2678449</v>
      </c>
      <c r="D104">
        <v>1877469.352403237</v>
      </c>
      <c r="E104">
        <f>Table2[[#This Row],[quarter average]]/Sheet3!$D$2</f>
        <v>0.9643494668168916</v>
      </c>
      <c r="F104">
        <f>Table2[[#This Row],[GDP_CVM]]/Table2[[#This Row],[seasonal index]]</f>
        <v>2637440.1474967967</v>
      </c>
    </row>
    <row r="105" spans="1:6">
      <c r="A105" s="4" t="s">
        <v>5</v>
      </c>
      <c r="B105" s="1">
        <v>2766734</v>
      </c>
      <c r="C105" s="1">
        <v>2679840</v>
      </c>
      <c r="D105">
        <v>2019901.0848646483</v>
      </c>
      <c r="E105">
        <f>Table2[[#This Row],[quarter average]]/Sheet3!$D$2</f>
        <v>1.0375085653029199</v>
      </c>
      <c r="F105">
        <f>Table2[[#This Row],[GDP_CVM]]/Table2[[#This Row],[seasonal index]]</f>
        <v>2666709.5506746015</v>
      </c>
    </row>
    <row r="106" spans="1:6">
      <c r="A106" s="8" t="s">
        <v>2</v>
      </c>
      <c r="B106" s="1">
        <v>2845657</v>
      </c>
      <c r="C106" s="1">
        <v>2720238</v>
      </c>
      <c r="D106">
        <v>2001961.2401227143</v>
      </c>
      <c r="E106">
        <f>Table2[[#This Row],[quarter average]]/Sheet3!$D$2</f>
        <v>1.0282938850795027</v>
      </c>
      <c r="F106">
        <f>Table2[[#This Row],[GDP_CVM]]/Table2[[#This Row],[seasonal index]]</f>
        <v>2767357.6992826206</v>
      </c>
    </row>
    <row r="107" spans="1:6">
      <c r="A107" s="4" t="s">
        <v>3</v>
      </c>
      <c r="B107" s="1">
        <v>2668902</v>
      </c>
      <c r="C107" s="1">
        <v>2746449</v>
      </c>
      <c r="D107">
        <v>1888174.4788594004</v>
      </c>
      <c r="E107">
        <f>Table2[[#This Row],[quarter average]]/Sheet3!$D$2</f>
        <v>0.96984808280068591</v>
      </c>
      <c r="F107">
        <f>Table2[[#This Row],[GDP_CVM]]/Table2[[#This Row],[seasonal index]]</f>
        <v>2751876.3477810449</v>
      </c>
    </row>
    <row r="108" spans="1:6">
      <c r="A108" s="8" t="s">
        <v>4</v>
      </c>
      <c r="B108" s="1">
        <v>2605929</v>
      </c>
      <c r="C108" s="1">
        <v>2749544</v>
      </c>
      <c r="D108">
        <v>1877469.352403237</v>
      </c>
      <c r="E108">
        <f>Table2[[#This Row],[quarter average]]/Sheet3!$D$2</f>
        <v>0.9643494668168916</v>
      </c>
      <c r="F108">
        <f>Table2[[#This Row],[GDP_CVM]]/Table2[[#This Row],[seasonal index]]</f>
        <v>2702266.23197253</v>
      </c>
    </row>
    <row r="109" spans="1:6">
      <c r="A109" s="4" t="s">
        <v>5</v>
      </c>
      <c r="B109" s="1">
        <v>2798831</v>
      </c>
      <c r="C109" s="1">
        <v>2703944</v>
      </c>
      <c r="D109">
        <v>2019901.0848646483</v>
      </c>
      <c r="E109">
        <f>Table2[[#This Row],[quarter average]]/Sheet3!$D$2</f>
        <v>1.0375085653029199</v>
      </c>
      <c r="F109">
        <f>Table2[[#This Row],[GDP_CVM]]/Table2[[#This Row],[seasonal index]]</f>
        <v>2697646.1627406701</v>
      </c>
    </row>
    <row r="110" spans="1:6">
      <c r="A110" s="8" t="s">
        <v>2</v>
      </c>
      <c r="B110" s="1">
        <v>2785733</v>
      </c>
      <c r="C110" s="1">
        <v>2661582</v>
      </c>
      <c r="D110">
        <v>2001961.2401227143</v>
      </c>
      <c r="E110">
        <f>Table2[[#This Row],[quarter average]]/Sheet3!$D$2</f>
        <v>1.0282938850795027</v>
      </c>
      <c r="F110">
        <f>Table2[[#This Row],[GDP_CVM]]/Table2[[#This Row],[seasonal index]]</f>
        <v>2709082.5302190925</v>
      </c>
    </row>
    <row r="111" spans="1:6">
      <c r="A111" s="4" t="s">
        <v>3</v>
      </c>
      <c r="B111" s="1">
        <v>2343919</v>
      </c>
      <c r="C111" s="1">
        <v>2415453</v>
      </c>
      <c r="D111">
        <v>1888174.4788594004</v>
      </c>
      <c r="E111">
        <f>Table2[[#This Row],[quarter average]]/Sheet3!$D$2</f>
        <v>0.96984808280068591</v>
      </c>
      <c r="F111">
        <f>Table2[[#This Row],[GDP_CVM]]/Table2[[#This Row],[seasonal index]]</f>
        <v>2416789.84736592</v>
      </c>
    </row>
    <row r="112" spans="1:6">
      <c r="A112" s="8" t="s">
        <v>4</v>
      </c>
      <c r="B112" s="1">
        <v>2442517</v>
      </c>
      <c r="C112" s="1">
        <v>2580833</v>
      </c>
      <c r="D112">
        <v>1877469.352403237</v>
      </c>
      <c r="E112">
        <f>Table2[[#This Row],[quarter average]]/Sheet3!$D$2</f>
        <v>0.9643494668168916</v>
      </c>
      <c r="F112">
        <f>Table2[[#This Row],[GDP_CVM]]/Table2[[#This Row],[seasonal index]]</f>
        <v>2532813.1388533027</v>
      </c>
    </row>
    <row r="113" spans="1:6">
      <c r="A113" s="4" t="s">
        <v>5</v>
      </c>
      <c r="B113" s="1">
        <v>2686527</v>
      </c>
      <c r="C113" s="1">
        <v>2591025</v>
      </c>
      <c r="D113">
        <v>2019901.0848646483</v>
      </c>
      <c r="E113">
        <f>Table2[[#This Row],[quarter average]]/Sheet3!$D$2</f>
        <v>1.0375085653029199</v>
      </c>
      <c r="F113">
        <f>Table2[[#This Row],[GDP_CVM]]/Table2[[#This Row],[seasonal index]]</f>
        <v>2589402.2370944172</v>
      </c>
    </row>
    <row r="114" spans="1:6">
      <c r="A114" s="8" t="s">
        <v>2</v>
      </c>
      <c r="B114" s="1">
        <v>2715941</v>
      </c>
      <c r="C114" s="1">
        <v>2592790</v>
      </c>
      <c r="D114">
        <v>2001961.2401227143</v>
      </c>
      <c r="E114">
        <f>Table2[[#This Row],[quarter average]]/Sheet3!$D$2</f>
        <v>1.0282938850795027</v>
      </c>
      <c r="F114">
        <f>Table2[[#This Row],[GDP_CVM]]/Table2[[#This Row],[seasonal index]]</f>
        <v>2641210.8828110131</v>
      </c>
    </row>
    <row r="115" spans="1:6">
      <c r="A115" s="4" t="s">
        <v>3</v>
      </c>
      <c r="B115" s="1">
        <v>2524347</v>
      </c>
      <c r="C115" s="1">
        <v>2605045</v>
      </c>
      <c r="D115">
        <v>1888174.4788594004</v>
      </c>
      <c r="E115">
        <f>Table2[[#This Row],[quarter average]]/Sheet3!$D$2</f>
        <v>0.96984808280068591</v>
      </c>
      <c r="F115">
        <f>Table2[[#This Row],[GDP_CVM]]/Table2[[#This Row],[seasonal index]]</f>
        <v>2602827.2311579958</v>
      </c>
    </row>
    <row r="116" spans="1:6">
      <c r="A116" s="8" t="s">
        <v>4</v>
      </c>
      <c r="B116" s="1">
        <v>2439023</v>
      </c>
      <c r="C116" s="1">
        <v>2577757</v>
      </c>
      <c r="D116">
        <v>1877469.352403237</v>
      </c>
      <c r="E116">
        <f>Table2[[#This Row],[quarter average]]/Sheet3!$D$2</f>
        <v>0.9643494668168916</v>
      </c>
      <c r="F116">
        <f>Table2[[#This Row],[GDP_CVM]]/Table2[[#This Row],[seasonal index]]</f>
        <v>2529189.9709870592</v>
      </c>
    </row>
    <row r="117" spans="1:6">
      <c r="A117" s="4" t="s">
        <v>5</v>
      </c>
      <c r="B117" s="1">
        <v>2738617</v>
      </c>
      <c r="C117" s="1">
        <v>2641357</v>
      </c>
      <c r="D117">
        <v>2019901.0848646483</v>
      </c>
      <c r="E117">
        <f>Table2[[#This Row],[quarter average]]/Sheet3!$D$2</f>
        <v>1.0375085653029199</v>
      </c>
      <c r="F117">
        <f>Table2[[#This Row],[GDP_CVM]]/Table2[[#This Row],[seasonal index]]</f>
        <v>2639609.0515169962</v>
      </c>
    </row>
    <row r="118" spans="1:6">
      <c r="A118" s="8" t="s">
        <v>2</v>
      </c>
      <c r="B118" s="1">
        <v>2776120</v>
      </c>
      <c r="C118" s="1">
        <v>2647464</v>
      </c>
      <c r="D118">
        <v>2001961.2401227143</v>
      </c>
      <c r="E118">
        <f>Table2[[#This Row],[quarter average]]/Sheet3!$D$2</f>
        <v>1.0282938850795027</v>
      </c>
      <c r="F118">
        <f>Table2[[#This Row],[GDP_CVM]]/Table2[[#This Row],[seasonal index]]</f>
        <v>2699734.0354555971</v>
      </c>
    </row>
    <row r="119" spans="1:6">
      <c r="A119" s="4" t="s">
        <v>3</v>
      </c>
      <c r="B119" s="1">
        <v>2585625</v>
      </c>
      <c r="C119" s="1">
        <v>2669521</v>
      </c>
      <c r="D119">
        <v>1888174.4788594004</v>
      </c>
      <c r="E119">
        <f>Table2[[#This Row],[quarter average]]/Sheet3!$D$2</f>
        <v>0.96984808280068591</v>
      </c>
      <c r="F119">
        <f>Table2[[#This Row],[GDP_CVM]]/Table2[[#This Row],[seasonal index]]</f>
        <v>2666010.3224964291</v>
      </c>
    </row>
    <row r="120" spans="1:6">
      <c r="A120" s="8" t="s">
        <v>4</v>
      </c>
      <c r="B120" s="1">
        <v>2548065</v>
      </c>
      <c r="C120" s="1">
        <v>2693326</v>
      </c>
      <c r="D120">
        <v>1877469.352403237</v>
      </c>
      <c r="E120">
        <f>Table2[[#This Row],[quarter average]]/Sheet3!$D$2</f>
        <v>0.9643494668168916</v>
      </c>
      <c r="F120">
        <f>Table2[[#This Row],[GDP_CVM]]/Table2[[#This Row],[seasonal index]]</f>
        <v>2642263.0878934478</v>
      </c>
    </row>
    <row r="121" spans="1:6">
      <c r="A121" s="4" t="s">
        <v>5</v>
      </c>
      <c r="B121" s="1">
        <v>2776940</v>
      </c>
      <c r="C121" s="1">
        <v>2680282</v>
      </c>
      <c r="D121">
        <v>2019901.0848646483</v>
      </c>
      <c r="E121">
        <f>Table2[[#This Row],[quarter average]]/Sheet3!$D$2</f>
        <v>1.0375085653029199</v>
      </c>
      <c r="F121">
        <f>Table2[[#This Row],[GDP_CVM]]/Table2[[#This Row],[seasonal index]]</f>
        <v>2676546.5778966565</v>
      </c>
    </row>
    <row r="122" spans="1:6">
      <c r="A122" s="8" t="s">
        <v>2</v>
      </c>
      <c r="B122" s="1">
        <v>2851124</v>
      </c>
      <c r="C122" s="1">
        <v>2716640</v>
      </c>
      <c r="D122">
        <v>2001961.2401227143</v>
      </c>
      <c r="E122">
        <f>Table2[[#This Row],[quarter average]]/Sheet3!$D$2</f>
        <v>1.0282938850795027</v>
      </c>
      <c r="F122">
        <f>Table2[[#This Row],[GDP_CVM]]/Table2[[#This Row],[seasonal index]]</f>
        <v>2772674.2727635349</v>
      </c>
    </row>
    <row r="123" spans="1:6">
      <c r="A123" s="4" t="s">
        <v>3</v>
      </c>
      <c r="B123" s="1">
        <v>2634713</v>
      </c>
      <c r="C123" s="1">
        <v>2720425</v>
      </c>
      <c r="D123">
        <v>1888174.4788594004</v>
      </c>
      <c r="E123">
        <f>Table2[[#This Row],[quarter average]]/Sheet3!$D$2</f>
        <v>0.96984808280068591</v>
      </c>
      <c r="F123">
        <f>Table2[[#This Row],[GDP_CVM]]/Table2[[#This Row],[seasonal index]]</f>
        <v>2716624.4350265539</v>
      </c>
    </row>
    <row r="124" spans="1:6">
      <c r="A124" s="8" t="s">
        <v>4</v>
      </c>
      <c r="B124" s="1">
        <v>2588398</v>
      </c>
      <c r="C124" s="1">
        <v>2734353</v>
      </c>
      <c r="D124">
        <v>1877469.352403237</v>
      </c>
      <c r="E124">
        <f>Table2[[#This Row],[quarter average]]/Sheet3!$D$2</f>
        <v>0.9643494668168916</v>
      </c>
      <c r="F124">
        <f>Table2[[#This Row],[GDP_CVM]]/Table2[[#This Row],[seasonal index]]</f>
        <v>2684087.1375640826</v>
      </c>
    </row>
    <row r="125" spans="1:6">
      <c r="A125" s="4" t="s">
        <v>5</v>
      </c>
      <c r="B125" s="1">
        <v>2828147</v>
      </c>
      <c r="C125" s="1">
        <v>2733671</v>
      </c>
      <c r="D125">
        <v>2019901.0848646483</v>
      </c>
      <c r="E125">
        <f>Table2[[#This Row],[quarter average]]/Sheet3!$D$2</f>
        <v>1.0375085653029199</v>
      </c>
      <c r="F125">
        <f>Table2[[#This Row],[GDP_CVM]]/Table2[[#This Row],[seasonal index]]</f>
        <v>2725902.3150081369</v>
      </c>
    </row>
    <row r="126" spans="1:6">
      <c r="A126" s="8" t="s">
        <v>2</v>
      </c>
      <c r="B126" s="1">
        <v>2899023</v>
      </c>
      <c r="C126" s="1">
        <v>2760371</v>
      </c>
      <c r="D126">
        <v>2001961.2401227143</v>
      </c>
      <c r="E126">
        <f>Table2[[#This Row],[quarter average]]/Sheet3!$D$2</f>
        <v>1.0282938850795027</v>
      </c>
      <c r="F126">
        <f>Table2[[#This Row],[GDP_CVM]]/Table2[[#This Row],[seasonal index]]</f>
        <v>2819255.314132167</v>
      </c>
    </row>
    <row r="127" spans="1:6">
      <c r="A127" s="4" t="s">
        <v>3</v>
      </c>
      <c r="B127" s="1">
        <v>2694894</v>
      </c>
      <c r="C127" s="1">
        <v>2782069</v>
      </c>
      <c r="D127">
        <v>1888174.4788594004</v>
      </c>
      <c r="E127">
        <f>Table2[[#This Row],[quarter average]]/Sheet3!$D$2</f>
        <v>0.96984808280068591</v>
      </c>
      <c r="F127">
        <f>Table2[[#This Row],[GDP_CVM]]/Table2[[#This Row],[seasonal index]]</f>
        <v>2778676.4213811713</v>
      </c>
    </row>
    <row r="128" spans="1:6">
      <c r="A128" s="8" t="s">
        <v>10</v>
      </c>
      <c r="B128" s="1">
        <v>2664915</v>
      </c>
      <c r="C128" s="1">
        <v>2814072</v>
      </c>
      <c r="D128">
        <v>1877469.352403237</v>
      </c>
      <c r="E128">
        <f>Table2[[#This Row],[quarter average]]/Sheet3!$D$2</f>
        <v>0.9643494668168916</v>
      </c>
      <c r="F128">
        <f>Table2[[#This Row],[GDP_CVM]]/Table2[[#This Row],[seasonal index]]</f>
        <v>2763432.8546852483</v>
      </c>
    </row>
    <row r="129" spans="1:6">
      <c r="A129" s="4" t="s">
        <v>5</v>
      </c>
      <c r="B129" s="1">
        <v>2918940</v>
      </c>
      <c r="C129" s="2">
        <v>2824464</v>
      </c>
      <c r="D129">
        <v>2019901.0848646483</v>
      </c>
      <c r="E129">
        <f>Table2[[#This Row],[quarter average]]/Sheet3!$D$2</f>
        <v>1.0375085653029199</v>
      </c>
      <c r="F129">
        <f>Table2[[#This Row],[GDP_CVM]]/Table2[[#This Row],[seasonal index]]</f>
        <v>2813412.9178468627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Linh Trần Hoàng</dc:creator>
  <cp:lastModifiedBy>Linh Tran</cp:lastModifiedBy>
  <dcterms:created xsi:type="dcterms:W3CDTF">2015-06-05T18:17:20Z</dcterms:created>
  <dcterms:modified xsi:type="dcterms:W3CDTF">2025-04-10T13:12:54Z</dcterms:modified>
</cp:coreProperties>
</file>