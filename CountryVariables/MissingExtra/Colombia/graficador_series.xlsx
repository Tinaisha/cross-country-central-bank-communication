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filterPrivacy="1"/>
  <xr:revisionPtr revIDLastSave="0" documentId="13_ncr:1_{E0D3F3F8-0249-4069-88B5-690F246AE191}" xr6:coauthVersionLast="47" xr6:coauthVersionMax="47" xr10:uidLastSave="{00000000-0000-0000-0000-000000000000}"/>
  <bookViews>
    <workbookView xWindow="-98" yWindow="-98" windowWidth="23236" windowHeight="13875" activeTab="1" xr2:uid="{00000000-000D-0000-FFFF-FFFF00000000}"/>
  </bookViews>
  <sheets>
    <sheet name="Datos" sheetId="1" r:id="rId1"/>
    <sheet name="Sheet1" sheetId="3" r:id="rId2"/>
    <sheet name="Información"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3" l="1"/>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24"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23" i="3"/>
</calcChain>
</file>

<file path=xl/sharedStrings.xml><?xml version="1.0" encoding="utf-8"?>
<sst xmlns="http://schemas.openxmlformats.org/spreadsheetml/2006/main" count="1705" uniqueCount="673">
  <si>
    <t>Fecha</t>
  </si>
  <si>
    <t>dd/mm/aaaa</t>
  </si>
  <si>
    <t>Miles de millones COP</t>
  </si>
  <si>
    <t>%</t>
  </si>
  <si>
    <t>31/03/2000</t>
  </si>
  <si>
    <t>-</t>
  </si>
  <si>
    <t>70.997,00</t>
  </si>
  <si>
    <t>30/06/2000</t>
  </si>
  <si>
    <t>71.019,00</t>
  </si>
  <si>
    <t>30/09/2000</t>
  </si>
  <si>
    <t>71.418,00</t>
  </si>
  <si>
    <t>31/12/2000</t>
  </si>
  <si>
    <t>71.327,00</t>
  </si>
  <si>
    <t>31/03/2001</t>
  </si>
  <si>
    <t>1,19</t>
  </si>
  <si>
    <t>71.844,00</t>
  </si>
  <si>
    <t>30/06/2001</t>
  </si>
  <si>
    <t>1,41</t>
  </si>
  <si>
    <t>72.023,00</t>
  </si>
  <si>
    <t>30/09/2001</t>
  </si>
  <si>
    <t>1,67</t>
  </si>
  <si>
    <t>72.613,00</t>
  </si>
  <si>
    <t>31/12/2001</t>
  </si>
  <si>
    <t>2,43</t>
  </si>
  <si>
    <t>73.059,00</t>
  </si>
  <si>
    <t>31/03/2002</t>
  </si>
  <si>
    <t>0,79</t>
  </si>
  <si>
    <t>72.413,00</t>
  </si>
  <si>
    <t>30/06/2002</t>
  </si>
  <si>
    <t>4,00</t>
  </si>
  <si>
    <t>74.907,00</t>
  </si>
  <si>
    <t>30/09/2002</t>
  </si>
  <si>
    <t>2,78</t>
  </si>
  <si>
    <t>74.635,00</t>
  </si>
  <si>
    <t>31/12/2002</t>
  </si>
  <si>
    <t>74.834,00</t>
  </si>
  <si>
    <t>31/03/2003</t>
  </si>
  <si>
    <t>4,19</t>
  </si>
  <si>
    <t>75.445,00</t>
  </si>
  <si>
    <t>30/06/2003</t>
  </si>
  <si>
    <t>2,42</t>
  </si>
  <si>
    <t>76.719,00</t>
  </si>
  <si>
    <t>30/09/2003</t>
  </si>
  <si>
    <t>4,02</t>
  </si>
  <si>
    <t>77.636,00</t>
  </si>
  <si>
    <t>31/12/2003</t>
  </si>
  <si>
    <t>5,06</t>
  </si>
  <si>
    <t>78.618,00</t>
  </si>
  <si>
    <t>31/03/2004</t>
  </si>
  <si>
    <t>6,18</t>
  </si>
  <si>
    <t>80.108,00</t>
  </si>
  <si>
    <t>30/06/2004</t>
  </si>
  <si>
    <t>4,40</t>
  </si>
  <si>
    <t>80.093,00</t>
  </si>
  <si>
    <t>30/09/2004</t>
  </si>
  <si>
    <t>4,39</t>
  </si>
  <si>
    <t>81.041,00</t>
  </si>
  <si>
    <t>31/12/2004</t>
  </si>
  <si>
    <t>6,37</t>
  </si>
  <si>
    <t>83.624,00</t>
  </si>
  <si>
    <t>31/03/2005</t>
  </si>
  <si>
    <t>126.308,92</t>
  </si>
  <si>
    <t>121.036,93</t>
  </si>
  <si>
    <t>4,17</t>
  </si>
  <si>
    <t>83.450,00</t>
  </si>
  <si>
    <t>30/06/2005</t>
  </si>
  <si>
    <t>128.617,72</t>
  </si>
  <si>
    <t>1,83</t>
  </si>
  <si>
    <t>125.535,75</t>
  </si>
  <si>
    <t>6,01</t>
  </si>
  <si>
    <t>84.907,00</t>
  </si>
  <si>
    <t>30/09/2005</t>
  </si>
  <si>
    <t>128.681,19</t>
  </si>
  <si>
    <t>0,05</t>
  </si>
  <si>
    <t>129.292,94</t>
  </si>
  <si>
    <t>5,38</t>
  </si>
  <si>
    <t>85.397,00</t>
  </si>
  <si>
    <t>31/12/2005</t>
  </si>
  <si>
    <t>131.245,17</t>
  </si>
  <si>
    <t>1,99</t>
  </si>
  <si>
    <t>138.987,37</t>
  </si>
  <si>
    <t>3,32</t>
  </si>
  <si>
    <t>86.402,00</t>
  </si>
  <si>
    <t>31/03/2006</t>
  </si>
  <si>
    <t>134.086,08</t>
  </si>
  <si>
    <t>2,16</t>
  </si>
  <si>
    <t>6,16</t>
  </si>
  <si>
    <t>128.755,32</t>
  </si>
  <si>
    <t>6,38</t>
  </si>
  <si>
    <t>87.942,00</t>
  </si>
  <si>
    <t>30/06/2006</t>
  </si>
  <si>
    <t>135.785,70</t>
  </si>
  <si>
    <t>1,27</t>
  </si>
  <si>
    <t>5,86</t>
  </si>
  <si>
    <t>132.220,48</t>
  </si>
  <si>
    <t>5,32</t>
  </si>
  <si>
    <t>5,84</t>
  </si>
  <si>
    <t>5,57</t>
  </si>
  <si>
    <t>5,85</t>
  </si>
  <si>
    <t>89.877,00</t>
  </si>
  <si>
    <t>30/09/2006</t>
  </si>
  <si>
    <t>138.547,99</t>
  </si>
  <si>
    <t>2,03</t>
  </si>
  <si>
    <t>6,47</t>
  </si>
  <si>
    <t>139.184,16</t>
  </si>
  <si>
    <t>7,65</t>
  </si>
  <si>
    <t>6,46</t>
  </si>
  <si>
    <t>7,67</t>
  </si>
  <si>
    <t>7,64</t>
  </si>
  <si>
    <t>91.919,00</t>
  </si>
  <si>
    <t>31/12/2006</t>
  </si>
  <si>
    <t>141.015,22</t>
  </si>
  <si>
    <t>1,78</t>
  </si>
  <si>
    <t>6,72</t>
  </si>
  <si>
    <t>149.275,04</t>
  </si>
  <si>
    <t>7,40</t>
  </si>
  <si>
    <t>7,44</t>
  </si>
  <si>
    <t>7,87</t>
  </si>
  <si>
    <t>93.200,00</t>
  </si>
  <si>
    <t>31/03/2007</t>
  </si>
  <si>
    <t>143.182,74</t>
  </si>
  <si>
    <t>1,54</t>
  </si>
  <si>
    <t>6,78</t>
  </si>
  <si>
    <t>137.396,35</t>
  </si>
  <si>
    <t>6,71</t>
  </si>
  <si>
    <t>7,96</t>
  </si>
  <si>
    <t>94.943,00</t>
  </si>
  <si>
    <t>30/06/2007</t>
  </si>
  <si>
    <t>144.978,35</t>
  </si>
  <si>
    <t>1,25</t>
  </si>
  <si>
    <t>141.291,99</t>
  </si>
  <si>
    <t>6,86</t>
  </si>
  <si>
    <t>6,79</t>
  </si>
  <si>
    <t>6,77</t>
  </si>
  <si>
    <t>6,24</t>
  </si>
  <si>
    <t>95.488,00</t>
  </si>
  <si>
    <t>30/09/2007</t>
  </si>
  <si>
    <t>148.063,32</t>
  </si>
  <si>
    <t>2,13</t>
  </si>
  <si>
    <t>6,81</t>
  </si>
  <si>
    <t>148.725,09</t>
  </si>
  <si>
    <t>6,85</t>
  </si>
  <si>
    <t>6,87</t>
  </si>
  <si>
    <t>97.578,00</t>
  </si>
  <si>
    <t>31/12/2007</t>
  </si>
  <si>
    <t>150.232,59</t>
  </si>
  <si>
    <t>1,47</t>
  </si>
  <si>
    <t>6,74</t>
  </si>
  <si>
    <t>159.043,56</t>
  </si>
  <si>
    <t>6,54</t>
  </si>
  <si>
    <t>7,27</t>
  </si>
  <si>
    <t>99.974,00</t>
  </si>
  <si>
    <t>31/03/2008</t>
  </si>
  <si>
    <t>150.937,32</t>
  </si>
  <si>
    <t>0,47</t>
  </si>
  <si>
    <t>5,42</t>
  </si>
  <si>
    <t>144.508,41</t>
  </si>
  <si>
    <t>5,18</t>
  </si>
  <si>
    <t>4,98</t>
  </si>
  <si>
    <t>99.669,00</t>
  </si>
  <si>
    <t>30/06/2008</t>
  </si>
  <si>
    <t>151.172,89</t>
  </si>
  <si>
    <t>0,16</t>
  </si>
  <si>
    <t>4,84</t>
  </si>
  <si>
    <t>148.057,77</t>
  </si>
  <si>
    <t>4,79</t>
  </si>
  <si>
    <t>4,27</t>
  </si>
  <si>
    <t>100.568,00</t>
  </si>
  <si>
    <t>30/09/2008</t>
  </si>
  <si>
    <t>152.911,26</t>
  </si>
  <si>
    <t>1,15</t>
  </si>
  <si>
    <t>4,31</t>
  </si>
  <si>
    <t>153.660,13</t>
  </si>
  <si>
    <t>3,27</t>
  </si>
  <si>
    <t>3,69</t>
  </si>
  <si>
    <t>101.178,00</t>
  </si>
  <si>
    <t>31/12/2008</t>
  </si>
  <si>
    <t>150.691,52</t>
  </si>
  <si>
    <t>-1,45</t>
  </si>
  <si>
    <t>3,28</t>
  </si>
  <si>
    <t>159.486,70</t>
  </si>
  <si>
    <t>0,28</t>
  </si>
  <si>
    <t>0,31</t>
  </si>
  <si>
    <t>0,36</t>
  </si>
  <si>
    <t>100.329,00</t>
  </si>
  <si>
    <t>31/03/2009</t>
  </si>
  <si>
    <t>150.782,42</t>
  </si>
  <si>
    <t>0,06</t>
  </si>
  <si>
    <t>-0,10</t>
  </si>
  <si>
    <t>144.722,89</t>
  </si>
  <si>
    <t>0,15</t>
  </si>
  <si>
    <t>100.814,00</t>
  </si>
  <si>
    <t>30/06/2009</t>
  </si>
  <si>
    <t>152.387,71</t>
  </si>
  <si>
    <t>1,06</t>
  </si>
  <si>
    <t>0,35</t>
  </si>
  <si>
    <t>149.083,50</t>
  </si>
  <si>
    <t>0,69</t>
  </si>
  <si>
    <t>0,42</t>
  </si>
  <si>
    <t>0,80</t>
  </si>
  <si>
    <t>1,21</t>
  </si>
  <si>
    <t>101.784,00</t>
  </si>
  <si>
    <t>30/09/2009</t>
  </si>
  <si>
    <t>153.941,62</t>
  </si>
  <si>
    <t>1,02</t>
  </si>
  <si>
    <t>0,46</t>
  </si>
  <si>
    <t>154.480,28</t>
  </si>
  <si>
    <t>0,53</t>
  </si>
  <si>
    <t>0,67</t>
  </si>
  <si>
    <t>1,34</t>
  </si>
  <si>
    <t>102.529,00</t>
  </si>
  <si>
    <t>31/12/2009</t>
  </si>
  <si>
    <t>155.504,26</t>
  </si>
  <si>
    <t>1,14</t>
  </si>
  <si>
    <t>164.329,34</t>
  </si>
  <si>
    <t>3,04</t>
  </si>
  <si>
    <t>3,19</t>
  </si>
  <si>
    <t>2,91</t>
  </si>
  <si>
    <t>103.252,00</t>
  </si>
  <si>
    <t>31/03/2010</t>
  </si>
  <si>
    <t>156.633,98</t>
  </si>
  <si>
    <t>0,73</t>
  </si>
  <si>
    <t>3,88</t>
  </si>
  <si>
    <t>150.340,31</t>
  </si>
  <si>
    <t>3,61</t>
  </si>
  <si>
    <t>104.449,00</t>
  </si>
  <si>
    <t>30/06/2010</t>
  </si>
  <si>
    <t>159.160,56</t>
  </si>
  <si>
    <t>1,61</t>
  </si>
  <si>
    <t>4,16</t>
  </si>
  <si>
    <t>155.979,45</t>
  </si>
  <si>
    <t>4,63</t>
  </si>
  <si>
    <t>4,26</t>
  </si>
  <si>
    <t>4,44</t>
  </si>
  <si>
    <t>3,54</t>
  </si>
  <si>
    <t>105.389,00</t>
  </si>
  <si>
    <t>30/09/2010</t>
  </si>
  <si>
    <t>160.349,83</t>
  </si>
  <si>
    <t>0,75</t>
  </si>
  <si>
    <t>160.729,76</t>
  </si>
  <si>
    <t>4,05</t>
  </si>
  <si>
    <t>3,42</t>
  </si>
  <si>
    <t>106.033,00</t>
  </si>
  <si>
    <t>31/12/2010</t>
  </si>
  <si>
    <t>164.006,63</t>
  </si>
  <si>
    <t>2,28</t>
  </si>
  <si>
    <t>4,49</t>
  </si>
  <si>
    <t>173.101,47</t>
  </si>
  <si>
    <t>5,34</t>
  </si>
  <si>
    <t>5,47</t>
  </si>
  <si>
    <t>5,30</t>
  </si>
  <si>
    <t>108.728,00</t>
  </si>
  <si>
    <t>31/03/2011</t>
  </si>
  <si>
    <t>167.166,52</t>
  </si>
  <si>
    <t>1,93</t>
  </si>
  <si>
    <t>160.564,15</t>
  </si>
  <si>
    <t>6,80</t>
  </si>
  <si>
    <t>5,67</t>
  </si>
  <si>
    <t>110.369,00</t>
  </si>
  <si>
    <t>30/06/2011</t>
  </si>
  <si>
    <t>169.759,65</t>
  </si>
  <si>
    <t>1,55</t>
  </si>
  <si>
    <t>6,69</t>
  </si>
  <si>
    <t>166.559,73</t>
  </si>
  <si>
    <t>6,66</t>
  </si>
  <si>
    <t>6,40</t>
  </si>
  <si>
    <t>112.137,00</t>
  </si>
  <si>
    <t>30/09/2011</t>
  </si>
  <si>
    <t>173.217,01</t>
  </si>
  <si>
    <t>2,04</t>
  </si>
  <si>
    <t>7,14</t>
  </si>
  <si>
    <t>173.450,40</t>
  </si>
  <si>
    <t>7,91</t>
  </si>
  <si>
    <t>7,18</t>
  </si>
  <si>
    <t>8,02</t>
  </si>
  <si>
    <t>7,92</t>
  </si>
  <si>
    <t>114.427,00</t>
  </si>
  <si>
    <t>31/12/2011</t>
  </si>
  <si>
    <t>174.484,82</t>
  </si>
  <si>
    <t>6,95</t>
  </si>
  <si>
    <t>184.053,71</t>
  </si>
  <si>
    <t>6,33</t>
  </si>
  <si>
    <t>6,39</t>
  </si>
  <si>
    <t>6,36</t>
  </si>
  <si>
    <t>115.645,00</t>
  </si>
  <si>
    <t>31/03/2012</t>
  </si>
  <si>
    <t>177.206,11</t>
  </si>
  <si>
    <t>1,56</t>
  </si>
  <si>
    <t>170.418,94</t>
  </si>
  <si>
    <t>6,14</t>
  </si>
  <si>
    <t>5,79</t>
  </si>
  <si>
    <t>116.759,00</t>
  </si>
  <si>
    <t>30/06/2012</t>
  </si>
  <si>
    <t>177.865,06</t>
  </si>
  <si>
    <t>0,37</t>
  </si>
  <si>
    <t>5,39</t>
  </si>
  <si>
    <t>174.632,20</t>
  </si>
  <si>
    <t>4,85</t>
  </si>
  <si>
    <t>5,48</t>
  </si>
  <si>
    <t>4,77</t>
  </si>
  <si>
    <t>117.717,00</t>
  </si>
  <si>
    <t>30/09/2012</t>
  </si>
  <si>
    <t>177.039,99</t>
  </si>
  <si>
    <t>-0,46</t>
  </si>
  <si>
    <t>177.350,19</t>
  </si>
  <si>
    <t>2,25</t>
  </si>
  <si>
    <t>4,36</t>
  </si>
  <si>
    <t>2,21</t>
  </si>
  <si>
    <t>2,60</t>
  </si>
  <si>
    <t>117.401,00</t>
  </si>
  <si>
    <t>31/12/2012</t>
  </si>
  <si>
    <t>179.303,84</t>
  </si>
  <si>
    <t>1,28</t>
  </si>
  <si>
    <t>3,91</t>
  </si>
  <si>
    <t>189.013,67</t>
  </si>
  <si>
    <t>2,69</t>
  </si>
  <si>
    <t>2,76</t>
  </si>
  <si>
    <t>2,90</t>
  </si>
  <si>
    <t>119.003,00</t>
  </si>
  <si>
    <t>31/03/2013</t>
  </si>
  <si>
    <t>181.877,11</t>
  </si>
  <si>
    <t>1,44</t>
  </si>
  <si>
    <t>2,64</t>
  </si>
  <si>
    <t>174.482,83</t>
  </si>
  <si>
    <t>2,38</t>
  </si>
  <si>
    <t>2,94</t>
  </si>
  <si>
    <t>120.193,00</t>
  </si>
  <si>
    <t>30/06/2013</t>
  </si>
  <si>
    <t>187.148,22</t>
  </si>
  <si>
    <t>3,93</t>
  </si>
  <si>
    <t>184.015,67</t>
  </si>
  <si>
    <t>5,37</t>
  </si>
  <si>
    <t>3,90</t>
  </si>
  <si>
    <t>5,22</t>
  </si>
  <si>
    <t>4,72</t>
  </si>
  <si>
    <t>123.276,00</t>
  </si>
  <si>
    <t>30/09/2013</t>
  </si>
  <si>
    <t>188.107,17</t>
  </si>
  <si>
    <t>0,51</t>
  </si>
  <si>
    <t>4,70</t>
  </si>
  <si>
    <t>188.424,21</t>
  </si>
  <si>
    <t>4,69</t>
  </si>
  <si>
    <t>6,25</t>
  </si>
  <si>
    <t>6,05</t>
  </si>
  <si>
    <t>124.503,00</t>
  </si>
  <si>
    <t>31/12/2013</t>
  </si>
  <si>
    <t>190.806,49</t>
  </si>
  <si>
    <t>1,43</t>
  </si>
  <si>
    <t>5,13</t>
  </si>
  <si>
    <t>201.016,29</t>
  </si>
  <si>
    <t>6,35</t>
  </si>
  <si>
    <t>6,42</t>
  </si>
  <si>
    <t>5,76</t>
  </si>
  <si>
    <t>125.859,00</t>
  </si>
  <si>
    <t>31/03/2014</t>
  </si>
  <si>
    <t>193.478,37</t>
  </si>
  <si>
    <t>1,40</t>
  </si>
  <si>
    <t>186.000,76</t>
  </si>
  <si>
    <t>6,60</t>
  </si>
  <si>
    <t>6,45</t>
  </si>
  <si>
    <t>127.947,00</t>
  </si>
  <si>
    <t>30/06/2014</t>
  </si>
  <si>
    <t>194.158,50</t>
  </si>
  <si>
    <t>5,04</t>
  </si>
  <si>
    <t>190.324,54</t>
  </si>
  <si>
    <t>3,43</t>
  </si>
  <si>
    <t>4,97</t>
  </si>
  <si>
    <t>3,75</t>
  </si>
  <si>
    <t>4,01</t>
  </si>
  <si>
    <t>128.224,00</t>
  </si>
  <si>
    <t>30/09/2014</t>
  </si>
  <si>
    <t>196.017,66</t>
  </si>
  <si>
    <t>0,96</t>
  </si>
  <si>
    <t>4,76</t>
  </si>
  <si>
    <t>196.684,63</t>
  </si>
  <si>
    <t>4,38</t>
  </si>
  <si>
    <t>4,21</t>
  </si>
  <si>
    <t>129.368,00</t>
  </si>
  <si>
    <t>31/12/2014</t>
  </si>
  <si>
    <t>197.934,47</t>
  </si>
  <si>
    <t>0,98</t>
  </si>
  <si>
    <t>4,50</t>
  </si>
  <si>
    <t>208.579,07</t>
  </si>
  <si>
    <t>3,76</t>
  </si>
  <si>
    <t>3,74</t>
  </si>
  <si>
    <t>129.989,00</t>
  </si>
  <si>
    <t>31/03/2015</t>
  </si>
  <si>
    <t>199.108,33</t>
  </si>
  <si>
    <t>0,59</t>
  </si>
  <si>
    <t>191.259,43</t>
  </si>
  <si>
    <t>2,83</t>
  </si>
  <si>
    <t>2,61</t>
  </si>
  <si>
    <t>131.292,00</t>
  </si>
  <si>
    <t>30/06/2015</t>
  </si>
  <si>
    <t>200.908,14</t>
  </si>
  <si>
    <t>0,90</t>
  </si>
  <si>
    <t>196.836,02</t>
  </si>
  <si>
    <t>3,13</t>
  </si>
  <si>
    <t>3,48</t>
  </si>
  <si>
    <t>132.117,00</t>
  </si>
  <si>
    <t>30/09/2015</t>
  </si>
  <si>
    <t>202.724,88</t>
  </si>
  <si>
    <t>203.721,01</t>
  </si>
  <si>
    <t>3,58</t>
  </si>
  <si>
    <t>3,20</t>
  </si>
  <si>
    <t>133.508,00</t>
  </si>
  <si>
    <t>31/12/2015</t>
  </si>
  <si>
    <t>201.950,65</t>
  </si>
  <si>
    <t>-0,38</t>
  </si>
  <si>
    <t>2,96</t>
  </si>
  <si>
    <t>212.875,55</t>
  </si>
  <si>
    <t>2,06</t>
  </si>
  <si>
    <t>3,35</t>
  </si>
  <si>
    <t>134.345,00</t>
  </si>
  <si>
    <t>31/03/2016</t>
  </si>
  <si>
    <t>204.636,42</t>
  </si>
  <si>
    <t>1,33</t>
  </si>
  <si>
    <t>195.801,87</t>
  </si>
  <si>
    <t>2,49</t>
  </si>
  <si>
    <t>134.556,00</t>
  </si>
  <si>
    <t>30/06/2016</t>
  </si>
  <si>
    <t>204.724,87</t>
  </si>
  <si>
    <t>0,04</t>
  </si>
  <si>
    <t>2,34</t>
  </si>
  <si>
    <t>201.015,43</t>
  </si>
  <si>
    <t>2,12</t>
  </si>
  <si>
    <t>1,90</t>
  </si>
  <si>
    <t>2,36</t>
  </si>
  <si>
    <t>135.229,00</t>
  </si>
  <si>
    <t>30/09/2016</t>
  </si>
  <si>
    <t>205.568,25</t>
  </si>
  <si>
    <t>0,41</t>
  </si>
  <si>
    <t>2,02</t>
  </si>
  <si>
    <t>206.895,52</t>
  </si>
  <si>
    <t>2,01</t>
  </si>
  <si>
    <t>1,50</t>
  </si>
  <si>
    <t>135.515,00</t>
  </si>
  <si>
    <t>31/12/2016</t>
  </si>
  <si>
    <t>206.559,46</t>
  </si>
  <si>
    <t>0,48</t>
  </si>
  <si>
    <t>2,09</t>
  </si>
  <si>
    <t>217.776,19</t>
  </si>
  <si>
    <t>2,30</t>
  </si>
  <si>
    <t>1,84</t>
  </si>
  <si>
    <t>136.816,00</t>
  </si>
  <si>
    <t>31/03/2017</t>
  </si>
  <si>
    <t>206.510,47</t>
  </si>
  <si>
    <t>-0,02</t>
  </si>
  <si>
    <t>0,92</t>
  </si>
  <si>
    <t>197.885,85</t>
  </si>
  <si>
    <t>136.636,00</t>
  </si>
  <si>
    <t>30/06/2017</t>
  </si>
  <si>
    <t>207.855,84</t>
  </si>
  <si>
    <t>0,65</t>
  </si>
  <si>
    <t>1,22</t>
  </si>
  <si>
    <t>203.556,61</t>
  </si>
  <si>
    <t>1,26</t>
  </si>
  <si>
    <t>1,17</t>
  </si>
  <si>
    <t>1,53</t>
  </si>
  <si>
    <t>1,69</t>
  </si>
  <si>
    <t>137.517,00</t>
  </si>
  <si>
    <t>30/09/2017</t>
  </si>
  <si>
    <t>208.983,17</t>
  </si>
  <si>
    <t>0,54</t>
  </si>
  <si>
    <t>1,37</t>
  </si>
  <si>
    <t>210.405,78</t>
  </si>
  <si>
    <t>1,70</t>
  </si>
  <si>
    <t>1,35</t>
  </si>
  <si>
    <t>1,66</t>
  </si>
  <si>
    <t>2,26</t>
  </si>
  <si>
    <t>138.576,00</t>
  </si>
  <si>
    <t>31/12/2017</t>
  </si>
  <si>
    <t>209.306,53</t>
  </si>
  <si>
    <t>1,36</t>
  </si>
  <si>
    <t>220.807,76</t>
  </si>
  <si>
    <t>1,39</t>
  </si>
  <si>
    <t>1,58</t>
  </si>
  <si>
    <t>138.972,00</t>
  </si>
  <si>
    <t>31/03/2018</t>
  </si>
  <si>
    <t>210.698,33</t>
  </si>
  <si>
    <t>0,66</t>
  </si>
  <si>
    <t>201.160,43</t>
  </si>
  <si>
    <t>1,65</t>
  </si>
  <si>
    <t>30/06/2018</t>
  </si>
  <si>
    <t>213.014,63</t>
  </si>
  <si>
    <t>1,10</t>
  </si>
  <si>
    <t>209.171,16</t>
  </si>
  <si>
    <t>2,48</t>
  </si>
  <si>
    <t>30/09/2018</t>
  </si>
  <si>
    <t>215.102,80</t>
  </si>
  <si>
    <t>216.466,10</t>
  </si>
  <si>
    <t>2,88</t>
  </si>
  <si>
    <t>2,44</t>
  </si>
  <si>
    <t>2,93</t>
  </si>
  <si>
    <t>31/12/2018</t>
  </si>
  <si>
    <t>215.192,24</t>
  </si>
  <si>
    <t>2,56</t>
  </si>
  <si>
    <t>227.210,30</t>
  </si>
  <si>
    <t>2,81</t>
  </si>
  <si>
    <t>31/03/2019</t>
  </si>
  <si>
    <t>217.508,23</t>
  </si>
  <si>
    <t>1,08</t>
  </si>
  <si>
    <t>3,23</t>
  </si>
  <si>
    <t>208.103,12</t>
  </si>
  <si>
    <t>3,45</t>
  </si>
  <si>
    <t>30/06/2019</t>
  </si>
  <si>
    <t>219.994,07</t>
  </si>
  <si>
    <t>3,25</t>
  </si>
  <si>
    <t>215.562,57</t>
  </si>
  <si>
    <t>3,06</t>
  </si>
  <si>
    <t>30/09/2019</t>
  </si>
  <si>
    <t>221.933,29</t>
  </si>
  <si>
    <t>0,88</t>
  </si>
  <si>
    <t>223.246,49</t>
  </si>
  <si>
    <t>3,21</t>
  </si>
  <si>
    <t>3,18</t>
  </si>
  <si>
    <t>31/12/2019</t>
  </si>
  <si>
    <t>221.788,41</t>
  </si>
  <si>
    <t>-0,07</t>
  </si>
  <si>
    <t>234.311,82</t>
  </si>
  <si>
    <t>3,07</t>
  </si>
  <si>
    <t>31/03/2020</t>
  </si>
  <si>
    <t>218.473,24</t>
  </si>
  <si>
    <t>-1,49</t>
  </si>
  <si>
    <t>0,44</t>
  </si>
  <si>
    <t>209.086,43</t>
  </si>
  <si>
    <t>30/06/2020</t>
  </si>
  <si>
    <t>183.050,94</t>
  </si>
  <si>
    <t>-16,21</t>
  </si>
  <si>
    <t>-8,22</t>
  </si>
  <si>
    <t>179.403,86</t>
  </si>
  <si>
    <t>-16,77</t>
  </si>
  <si>
    <t>-8,30</t>
  </si>
  <si>
    <t>-16,79</t>
  </si>
  <si>
    <t>30/09/2020</t>
  </si>
  <si>
    <t>201.941,78</t>
  </si>
  <si>
    <t>10,32</t>
  </si>
  <si>
    <t>-8,49</t>
  </si>
  <si>
    <t>203.020,07</t>
  </si>
  <si>
    <t>-9,06</t>
  </si>
  <si>
    <t>-8,56</t>
  </si>
  <si>
    <t>-9,01</t>
  </si>
  <si>
    <t>31/12/2020</t>
  </si>
  <si>
    <t>214.434,04</t>
  </si>
  <si>
    <t>6,19</t>
  </si>
  <si>
    <t>-7,19</t>
  </si>
  <si>
    <t>226.389,64</t>
  </si>
  <si>
    <t>-3,38</t>
  </si>
  <si>
    <t>-3,32</t>
  </si>
  <si>
    <t>31/03/2021</t>
  </si>
  <si>
    <t>221.596,98</t>
  </si>
  <si>
    <t>3,34</t>
  </si>
  <si>
    <t>212.029,62</t>
  </si>
  <si>
    <t>30/06/2021</t>
  </si>
  <si>
    <t>217.280,07</t>
  </si>
  <si>
    <t>-1,95</t>
  </si>
  <si>
    <t>9,30</t>
  </si>
  <si>
    <t>212.830,51</t>
  </si>
  <si>
    <t>18,63</t>
  </si>
  <si>
    <t>9,36</t>
  </si>
  <si>
    <t>18,70</t>
  </si>
  <si>
    <t>30/09/2021</t>
  </si>
  <si>
    <t>229.095,20</t>
  </si>
  <si>
    <t>5,44</t>
  </si>
  <si>
    <t>10,69</t>
  </si>
  <si>
    <t>230.058,66</t>
  </si>
  <si>
    <t>13,32</t>
  </si>
  <si>
    <t>10,72</t>
  </si>
  <si>
    <t>13,45</t>
  </si>
  <si>
    <t>31/12/2021</t>
  </si>
  <si>
    <t>238.270,75</t>
  </si>
  <si>
    <t>10,80</t>
  </si>
  <si>
    <t>251.324,21</t>
  </si>
  <si>
    <t>11,01</t>
  </si>
  <si>
    <t>11,12</t>
  </si>
  <si>
    <t>31/03/2022</t>
  </si>
  <si>
    <t>239.388,73</t>
  </si>
  <si>
    <t>8,03</t>
  </si>
  <si>
    <t>229.409,70</t>
  </si>
  <si>
    <t>8,20</t>
  </si>
  <si>
    <t>30/06/2022</t>
  </si>
  <si>
    <t>243.654,21</t>
  </si>
  <si>
    <t>10,06</t>
  </si>
  <si>
    <t>238.982,60</t>
  </si>
  <si>
    <t>12,29</t>
  </si>
  <si>
    <t>10,25</t>
  </si>
  <si>
    <t>12,14</t>
  </si>
  <si>
    <t>30/09/2022</t>
  </si>
  <si>
    <t>245.927,34</t>
  </si>
  <si>
    <t>0,93</t>
  </si>
  <si>
    <t>9,13</t>
  </si>
  <si>
    <t>247.212,32</t>
  </si>
  <si>
    <t>7,46</t>
  </si>
  <si>
    <t>9,27</t>
  </si>
  <si>
    <t>7,35</t>
  </si>
  <si>
    <t>31/12/2022</t>
  </si>
  <si>
    <t>243.327,71</t>
  </si>
  <si>
    <t>-1,06</t>
  </si>
  <si>
    <t>7,29</t>
  </si>
  <si>
    <t>256.693,39</t>
  </si>
  <si>
    <t>2,14</t>
  </si>
  <si>
    <t>31/03/2023</t>
  </si>
  <si>
    <t>245.249,29</t>
  </si>
  <si>
    <t>2,45</t>
  </si>
  <si>
    <t>235.332,52</t>
  </si>
  <si>
    <t>2,58</t>
  </si>
  <si>
    <t>30/06/2023</t>
  </si>
  <si>
    <t>244.160,49</t>
  </si>
  <si>
    <t>-0,44</t>
  </si>
  <si>
    <t>1,32</t>
  </si>
  <si>
    <t>239.637,51</t>
  </si>
  <si>
    <t>0,27</t>
  </si>
  <si>
    <t>0,21</t>
  </si>
  <si>
    <t>30/09/2023</t>
  </si>
  <si>
    <t>244.291,88</t>
  </si>
  <si>
    <t>245.612,80</t>
  </si>
  <si>
    <t>-0,65</t>
  </si>
  <si>
    <t>0,70</t>
  </si>
  <si>
    <t>-0,67</t>
  </si>
  <si>
    <t>31/12/2023</t>
  </si>
  <si>
    <t>244.531,51</t>
  </si>
  <si>
    <t>0,10</t>
  </si>
  <si>
    <t>0,61</t>
  </si>
  <si>
    <t>257.650,33</t>
  </si>
  <si>
    <t>0,49</t>
  </si>
  <si>
    <t>31/03/2024</t>
  </si>
  <si>
    <t>247.523,89</t>
  </si>
  <si>
    <t>237.000,79</t>
  </si>
  <si>
    <t>0,71</t>
  </si>
  <si>
    <t>30/06/2024</t>
  </si>
  <si>
    <t>248.737,84</t>
  </si>
  <si>
    <t>244.722,33</t>
  </si>
  <si>
    <t>1,42</t>
  </si>
  <si>
    <t>1,87</t>
  </si>
  <si>
    <t>30/09/2024</t>
  </si>
  <si>
    <t>249.237,08</t>
  </si>
  <si>
    <t>0,20</t>
  </si>
  <si>
    <t>250.548,10</t>
  </si>
  <si>
    <t>1,62</t>
  </si>
  <si>
    <t/>
  </si>
  <si>
    <t>Descargado de sistema del Banco de la República lunes, 24 de marzo de 2025 8:48:56 a. m.</t>
  </si>
  <si>
    <t>Nombre de la serie</t>
  </si>
  <si>
    <t>Unidad de medida</t>
  </si>
  <si>
    <t>Base</t>
  </si>
  <si>
    <t>Periodicidad</t>
  </si>
  <si>
    <t>Fuente</t>
  </si>
  <si>
    <t>Descripción</t>
  </si>
  <si>
    <t>Notas</t>
  </si>
  <si>
    <t>Producto Interno Bruto (PIB) real, Trimestral, base: 2015, Ajuste estacional</t>
  </si>
  <si>
    <t>2015</t>
  </si>
  <si>
    <t>Dato fin de trimestre</t>
  </si>
  <si>
    <t>Fuente: Departamento Administrativo Nacional de Estadística (DANE)</t>
  </si>
  <si>
    <t>Variación porcentual  trimestral</t>
  </si>
  <si>
    <t>Variación porcentual  año corrido</t>
  </si>
  <si>
    <t>Producto Interno Bruto (PIB) real, Trimestral, base: 2015</t>
  </si>
  <si>
    <t>Variación porcentual  anual</t>
  </si>
  <si>
    <t>Crecimiento PIB real, Trimestral, base: 2015</t>
  </si>
  <si>
    <t>El Departamento Nacional de Estadística (DANE) informa dos series de Producto Interno Bruto (PIB) real. La primera se refiere al valor del producto real con período base 2015. La segunda es el PIB real corregido por factores estacionales y por efectos calendario. Para el análisis del estado de la economía y los pronósticos de crecimiento, el Banco utiliza esta última serie (PIB real corregido por factores estacionales y días hábiles).&lt;span&gt;&amp;nbsp;&lt;/span&gt;&lt;a href="http://www.dane.gov.co/index.php/estadisticas-por-tema/cuentas-nacionales" target="_blank"&gt;Consulte la información de la metodología del cálculo del PIB y la serie sin desestacionalizar del mismo, en la página del Departamento Administrativo Nacional de Estadística (DANE).&lt;/a&gt;</t>
  </si>
  <si>
    <t>Crecimiento PIB real, Trimestral, base: 2015, Ajuste estacional</t>
  </si>
  <si>
    <t>Crecimiento PIB real, Trimestral, base: 2005, Ajuste estacional</t>
  </si>
  <si>
    <t>2005</t>
  </si>
  <si>
    <t>Producto Interno Bruto (PIB) real, Trimestral, base: 2005, Ajuste estacional</t>
  </si>
  <si>
    <t>Real Gross Domestic Product (GDP), Quarterly, base: 2015, Seasonal adjustment(End of quarter data)</t>
  </si>
  <si>
    <t>Real Gross Domestic Product (GDP), Quarterly, base: 2015, Seasonal adjustment(Quarterly percentage change)</t>
  </si>
  <si>
    <t>Real Gross Domestic Product (GDP), Quarterly, base: 2015, Seasonal adjustment(Percentage change year-to-date)</t>
  </si>
  <si>
    <t>Real Gross Domestic Product (GDP), Quarterly, base: 2015(End of quarter data)</t>
  </si>
  <si>
    <t>Real Gross Domestic Product (GDP), Quarterly, base: 2015 (Annual percentage change)</t>
  </si>
  <si>
    <t>Real Gross Domestic Product (GDP), Quarterly, base: 2015 (Percentage change year to date)</t>
  </si>
  <si>
    <t>Real GDP growth, quarterly, base: 2015(Quarter-end data)</t>
  </si>
  <si>
    <t>Real GDP growth, quarterly, base: 2015, Seasonally adjusted(End of quarter data)</t>
  </si>
  <si>
    <t>Real GDP growth, quarterly, base: 2005, Seasonally adjusted(End of quarter data)</t>
  </si>
  <si>
    <t>Real Gross Domestic Product (GDP), Quarterly, base: 2005, Seasonal adjustment(End of quarter data)</t>
  </si>
  <si>
    <t>Real Gross Domestic Product (GDP), Quarterly, base: 2005, Seasonal adjustment(Annual percentage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</si>
</sst>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6"/>
      <color theme="1"/>
      <name val="Courier New"/>
      <family val="3"/>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xf>
    <xf numFmtId="0" fontId="0" fillId="0" borderId="0" xfId="0" applyAlignment="1">
      <alignment vertical="center" wrapText="1"/>
    </xf>
    <xf numFmtId="2" fontId="0" fillId="0" borderId="0" xfId="0" applyNumberFormat="1"/>
    <xf numFmtId="0" fontId="2" fillId="0" borderId="0" xfId="0" applyFont="1"/>
    <xf numFmtId="49"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4"/>
  <sheetViews>
    <sheetView workbookViewId="0">
      <selection activeCell="B3" sqref="B3:B101"/>
    </sheetView>
  </sheetViews>
  <sheetFormatPr defaultRowHeight="14.25" x14ac:dyDescent="0.45"/>
  <cols>
    <col min="1" max="1" width="25" customWidth="1"/>
    <col min="2" max="2" width="99" customWidth="1"/>
    <col min="3" max="3" width="110" customWidth="1"/>
    <col min="4" max="4" width="111" customWidth="1"/>
    <col min="5" max="5" width="80" customWidth="1"/>
    <col min="6" max="6" width="86" customWidth="1"/>
    <col min="7" max="7" width="92" customWidth="1"/>
    <col min="8" max="8" width="67" customWidth="1"/>
    <col min="9" max="10" width="86" customWidth="1"/>
    <col min="11" max="11" width="99" customWidth="1"/>
    <col min="12" max="12" width="105" customWidth="1"/>
  </cols>
  <sheetData>
    <row r="1" spans="1:12" x14ac:dyDescent="0.45">
      <c r="A1" t="s">
        <v>0</v>
      </c>
      <c r="B1" t="s">
        <v>662</v>
      </c>
      <c r="C1" t="s">
        <v>663</v>
      </c>
      <c r="D1" t="s">
        <v>664</v>
      </c>
      <c r="E1" t="s">
        <v>665</v>
      </c>
      <c r="F1" t="s">
        <v>666</v>
      </c>
      <c r="G1" t="s">
        <v>667</v>
      </c>
      <c r="H1" t="s">
        <v>668</v>
      </c>
      <c r="I1" t="s">
        <v>669</v>
      </c>
      <c r="J1" t="s">
        <v>670</v>
      </c>
      <c r="K1" t="s">
        <v>671</v>
      </c>
      <c r="L1" t="s">
        <v>672</v>
      </c>
    </row>
    <row r="2" spans="1:12" x14ac:dyDescent="0.45">
      <c r="A2" t="s">
        <v>1</v>
      </c>
      <c r="B2" t="s">
        <v>2</v>
      </c>
      <c r="C2" t="s">
        <v>2</v>
      </c>
      <c r="D2" t="s">
        <v>2</v>
      </c>
      <c r="E2" t="s">
        <v>2</v>
      </c>
      <c r="F2" t="s">
        <v>2</v>
      </c>
      <c r="G2" t="s">
        <v>2</v>
      </c>
      <c r="H2" t="s">
        <v>3</v>
      </c>
      <c r="I2" t="s">
        <v>3</v>
      </c>
      <c r="J2" t="s">
        <v>3</v>
      </c>
      <c r="K2" t="s">
        <v>2</v>
      </c>
      <c r="L2" t="s">
        <v>2</v>
      </c>
    </row>
    <row r="3" spans="1:12" x14ac:dyDescent="0.45">
      <c r="A3" t="s">
        <v>4</v>
      </c>
      <c r="B3" t="s">
        <v>5</v>
      </c>
      <c r="C3" t="s">
        <v>5</v>
      </c>
      <c r="D3" t="s">
        <v>5</v>
      </c>
      <c r="E3" t="s">
        <v>5</v>
      </c>
      <c r="F3" t="s">
        <v>5</v>
      </c>
      <c r="G3" t="s">
        <v>5</v>
      </c>
      <c r="H3" t="s">
        <v>5</v>
      </c>
      <c r="I3" t="s">
        <v>5</v>
      </c>
      <c r="J3" t="s">
        <v>5</v>
      </c>
      <c r="K3" t="s">
        <v>6</v>
      </c>
      <c r="L3" t="s">
        <v>5</v>
      </c>
    </row>
    <row r="4" spans="1:12" x14ac:dyDescent="0.45">
      <c r="A4" t="s">
        <v>7</v>
      </c>
      <c r="B4" t="s">
        <v>5</v>
      </c>
      <c r="C4" t="s">
        <v>5</v>
      </c>
      <c r="D4" t="s">
        <v>5</v>
      </c>
      <c r="E4" t="s">
        <v>5</v>
      </c>
      <c r="F4" t="s">
        <v>5</v>
      </c>
      <c r="G4" t="s">
        <v>5</v>
      </c>
      <c r="H4" t="s">
        <v>5</v>
      </c>
      <c r="I4" t="s">
        <v>5</v>
      </c>
      <c r="J4" t="s">
        <v>5</v>
      </c>
      <c r="K4" t="s">
        <v>8</v>
      </c>
      <c r="L4" t="s">
        <v>5</v>
      </c>
    </row>
    <row r="5" spans="1:12" x14ac:dyDescent="0.45">
      <c r="A5" t="s">
        <v>9</v>
      </c>
      <c r="B5" t="s">
        <v>5</v>
      </c>
      <c r="C5" t="s">
        <v>5</v>
      </c>
      <c r="D5" t="s">
        <v>5</v>
      </c>
      <c r="E5" t="s">
        <v>5</v>
      </c>
      <c r="F5" t="s">
        <v>5</v>
      </c>
      <c r="G5" t="s">
        <v>5</v>
      </c>
      <c r="H5" t="s">
        <v>5</v>
      </c>
      <c r="I5" t="s">
        <v>5</v>
      </c>
      <c r="J5" t="s">
        <v>5</v>
      </c>
      <c r="K5" t="s">
        <v>10</v>
      </c>
      <c r="L5" t="s">
        <v>5</v>
      </c>
    </row>
    <row r="6" spans="1:12" x14ac:dyDescent="0.45">
      <c r="A6" t="s">
        <v>11</v>
      </c>
      <c r="B6" t="s">
        <v>5</v>
      </c>
      <c r="C6" t="s">
        <v>5</v>
      </c>
      <c r="D6" t="s">
        <v>5</v>
      </c>
      <c r="E6" t="s">
        <v>5</v>
      </c>
      <c r="F6" t="s">
        <v>5</v>
      </c>
      <c r="G6" t="s">
        <v>5</v>
      </c>
      <c r="H6" t="s">
        <v>5</v>
      </c>
      <c r="I6" t="s">
        <v>5</v>
      </c>
      <c r="J6" t="s">
        <v>5</v>
      </c>
      <c r="K6" t="s">
        <v>12</v>
      </c>
      <c r="L6" t="s">
        <v>5</v>
      </c>
    </row>
    <row r="7" spans="1:12" x14ac:dyDescent="0.45">
      <c r="A7" t="s">
        <v>13</v>
      </c>
      <c r="B7" t="s">
        <v>5</v>
      </c>
      <c r="C7" t="s">
        <v>5</v>
      </c>
      <c r="D7" t="s">
        <v>5</v>
      </c>
      <c r="E7" t="s">
        <v>5</v>
      </c>
      <c r="F7" t="s">
        <v>5</v>
      </c>
      <c r="G7" t="s">
        <v>5</v>
      </c>
      <c r="H7" t="s">
        <v>5</v>
      </c>
      <c r="I7" t="s">
        <v>5</v>
      </c>
      <c r="J7" t="s">
        <v>14</v>
      </c>
      <c r="K7" t="s">
        <v>15</v>
      </c>
      <c r="L7" t="s">
        <v>14</v>
      </c>
    </row>
    <row r="8" spans="1:12" x14ac:dyDescent="0.45">
      <c r="A8" t="s">
        <v>16</v>
      </c>
      <c r="B8" t="s">
        <v>5</v>
      </c>
      <c r="C8" t="s">
        <v>5</v>
      </c>
      <c r="D8" t="s">
        <v>5</v>
      </c>
      <c r="E8" t="s">
        <v>5</v>
      </c>
      <c r="F8" t="s">
        <v>5</v>
      </c>
      <c r="G8" t="s">
        <v>5</v>
      </c>
      <c r="H8" t="s">
        <v>5</v>
      </c>
      <c r="I8" t="s">
        <v>5</v>
      </c>
      <c r="J8" t="s">
        <v>17</v>
      </c>
      <c r="K8" t="s">
        <v>18</v>
      </c>
      <c r="L8" t="s">
        <v>17</v>
      </c>
    </row>
    <row r="9" spans="1:12" x14ac:dyDescent="0.45">
      <c r="A9" t="s">
        <v>19</v>
      </c>
      <c r="B9" t="s">
        <v>5</v>
      </c>
      <c r="C9" t="s">
        <v>5</v>
      </c>
      <c r="D9" t="s">
        <v>5</v>
      </c>
      <c r="E9" t="s">
        <v>5</v>
      </c>
      <c r="F9" t="s">
        <v>5</v>
      </c>
      <c r="G9" t="s">
        <v>5</v>
      </c>
      <c r="H9" t="s">
        <v>5</v>
      </c>
      <c r="I9" t="s">
        <v>5</v>
      </c>
      <c r="J9" t="s">
        <v>20</v>
      </c>
      <c r="K9" t="s">
        <v>21</v>
      </c>
      <c r="L9" t="s">
        <v>20</v>
      </c>
    </row>
    <row r="10" spans="1:12" x14ac:dyDescent="0.45">
      <c r="A10" t="s">
        <v>22</v>
      </c>
      <c r="B10" t="s">
        <v>5</v>
      </c>
      <c r="C10" t="s">
        <v>5</v>
      </c>
      <c r="D10" t="s">
        <v>5</v>
      </c>
      <c r="E10" t="s">
        <v>5</v>
      </c>
      <c r="F10" t="s">
        <v>5</v>
      </c>
      <c r="G10" t="s">
        <v>5</v>
      </c>
      <c r="H10" t="s">
        <v>5</v>
      </c>
      <c r="I10" t="s">
        <v>5</v>
      </c>
      <c r="J10" t="s">
        <v>23</v>
      </c>
      <c r="K10" t="s">
        <v>24</v>
      </c>
      <c r="L10" t="s">
        <v>23</v>
      </c>
    </row>
    <row r="11" spans="1:12" x14ac:dyDescent="0.45">
      <c r="A11" t="s">
        <v>25</v>
      </c>
      <c r="B11" t="s">
        <v>5</v>
      </c>
      <c r="C11" t="s">
        <v>5</v>
      </c>
      <c r="D11" t="s">
        <v>5</v>
      </c>
      <c r="E11" t="s">
        <v>5</v>
      </c>
      <c r="F11" t="s">
        <v>5</v>
      </c>
      <c r="G11" t="s">
        <v>5</v>
      </c>
      <c r="H11" t="s">
        <v>5</v>
      </c>
      <c r="I11" t="s">
        <v>5</v>
      </c>
      <c r="J11" t="s">
        <v>26</v>
      </c>
      <c r="K11" t="s">
        <v>27</v>
      </c>
      <c r="L11" t="s">
        <v>26</v>
      </c>
    </row>
    <row r="12" spans="1:12" x14ac:dyDescent="0.45">
      <c r="A12" t="s">
        <v>28</v>
      </c>
      <c r="B12" t="s">
        <v>5</v>
      </c>
      <c r="C12" t="s">
        <v>5</v>
      </c>
      <c r="D12" t="s">
        <v>5</v>
      </c>
      <c r="E12" t="s">
        <v>5</v>
      </c>
      <c r="F12" t="s">
        <v>5</v>
      </c>
      <c r="G12" t="s">
        <v>5</v>
      </c>
      <c r="H12" t="s">
        <v>5</v>
      </c>
      <c r="I12" t="s">
        <v>5</v>
      </c>
      <c r="J12" t="s">
        <v>29</v>
      </c>
      <c r="K12" t="s">
        <v>30</v>
      </c>
      <c r="L12" t="s">
        <v>29</v>
      </c>
    </row>
    <row r="13" spans="1:12" x14ac:dyDescent="0.45">
      <c r="A13" t="s">
        <v>31</v>
      </c>
      <c r="B13" t="s">
        <v>5</v>
      </c>
      <c r="C13" t="s">
        <v>5</v>
      </c>
      <c r="D13" t="s">
        <v>5</v>
      </c>
      <c r="E13" t="s">
        <v>5</v>
      </c>
      <c r="F13" t="s">
        <v>5</v>
      </c>
      <c r="G13" t="s">
        <v>5</v>
      </c>
      <c r="H13" t="s">
        <v>5</v>
      </c>
      <c r="I13" t="s">
        <v>5</v>
      </c>
      <c r="J13" t="s">
        <v>32</v>
      </c>
      <c r="K13" t="s">
        <v>33</v>
      </c>
      <c r="L13" t="s">
        <v>32</v>
      </c>
    </row>
    <row r="14" spans="1:12" x14ac:dyDescent="0.45">
      <c r="A14" t="s">
        <v>34</v>
      </c>
      <c r="B14" t="s">
        <v>5</v>
      </c>
      <c r="C14" t="s">
        <v>5</v>
      </c>
      <c r="D14" t="s">
        <v>5</v>
      </c>
      <c r="E14" t="s">
        <v>5</v>
      </c>
      <c r="F14" t="s">
        <v>5</v>
      </c>
      <c r="G14" t="s">
        <v>5</v>
      </c>
      <c r="H14" t="s">
        <v>5</v>
      </c>
      <c r="I14" t="s">
        <v>5</v>
      </c>
      <c r="J14" t="s">
        <v>23</v>
      </c>
      <c r="K14" t="s">
        <v>35</v>
      </c>
      <c r="L14" t="s">
        <v>23</v>
      </c>
    </row>
    <row r="15" spans="1:12" x14ac:dyDescent="0.45">
      <c r="A15" t="s">
        <v>36</v>
      </c>
      <c r="B15" t="s">
        <v>5</v>
      </c>
      <c r="C15" t="s">
        <v>5</v>
      </c>
      <c r="D15" t="s">
        <v>5</v>
      </c>
      <c r="E15" t="s">
        <v>5</v>
      </c>
      <c r="F15" t="s">
        <v>5</v>
      </c>
      <c r="G15" t="s">
        <v>5</v>
      </c>
      <c r="H15" t="s">
        <v>5</v>
      </c>
      <c r="I15" t="s">
        <v>5</v>
      </c>
      <c r="J15" t="s">
        <v>37</v>
      </c>
      <c r="K15" t="s">
        <v>38</v>
      </c>
      <c r="L15" t="s">
        <v>37</v>
      </c>
    </row>
    <row r="16" spans="1:12" x14ac:dyDescent="0.45">
      <c r="A16" t="s">
        <v>39</v>
      </c>
      <c r="B16" t="s">
        <v>5</v>
      </c>
      <c r="C16" t="s">
        <v>5</v>
      </c>
      <c r="D16" t="s">
        <v>5</v>
      </c>
      <c r="E16" t="s">
        <v>5</v>
      </c>
      <c r="F16" t="s">
        <v>5</v>
      </c>
      <c r="G16" t="s">
        <v>5</v>
      </c>
      <c r="H16" t="s">
        <v>5</v>
      </c>
      <c r="I16" t="s">
        <v>5</v>
      </c>
      <c r="J16" t="s">
        <v>40</v>
      </c>
      <c r="K16" t="s">
        <v>41</v>
      </c>
      <c r="L16" t="s">
        <v>40</v>
      </c>
    </row>
    <row r="17" spans="1:12" x14ac:dyDescent="0.45">
      <c r="A17" t="s">
        <v>42</v>
      </c>
      <c r="B17" t="s">
        <v>5</v>
      </c>
      <c r="C17" t="s">
        <v>5</v>
      </c>
      <c r="D17" t="s">
        <v>5</v>
      </c>
      <c r="E17" t="s">
        <v>5</v>
      </c>
      <c r="F17" t="s">
        <v>5</v>
      </c>
      <c r="G17" t="s">
        <v>5</v>
      </c>
      <c r="H17" t="s">
        <v>5</v>
      </c>
      <c r="I17" t="s">
        <v>5</v>
      </c>
      <c r="J17" t="s">
        <v>43</v>
      </c>
      <c r="K17" t="s">
        <v>44</v>
      </c>
      <c r="L17" t="s">
        <v>43</v>
      </c>
    </row>
    <row r="18" spans="1:12" x14ac:dyDescent="0.45">
      <c r="A18" t="s">
        <v>45</v>
      </c>
      <c r="B18" t="s">
        <v>5</v>
      </c>
      <c r="C18" t="s">
        <v>5</v>
      </c>
      <c r="D18" t="s">
        <v>5</v>
      </c>
      <c r="E18" t="s">
        <v>5</v>
      </c>
      <c r="F18" t="s">
        <v>5</v>
      </c>
      <c r="G18" t="s">
        <v>5</v>
      </c>
      <c r="H18" t="s">
        <v>5</v>
      </c>
      <c r="I18" t="s">
        <v>5</v>
      </c>
      <c r="J18" t="s">
        <v>46</v>
      </c>
      <c r="K18" t="s">
        <v>47</v>
      </c>
      <c r="L18" t="s">
        <v>46</v>
      </c>
    </row>
    <row r="19" spans="1:12" x14ac:dyDescent="0.45">
      <c r="A19" t="s">
        <v>48</v>
      </c>
      <c r="B19" t="s">
        <v>5</v>
      </c>
      <c r="C19" t="s">
        <v>5</v>
      </c>
      <c r="D19" t="s">
        <v>5</v>
      </c>
      <c r="E19" t="s">
        <v>5</v>
      </c>
      <c r="F19" t="s">
        <v>5</v>
      </c>
      <c r="G19" t="s">
        <v>5</v>
      </c>
      <c r="H19" t="s">
        <v>5</v>
      </c>
      <c r="I19" t="s">
        <v>5</v>
      </c>
      <c r="J19" t="s">
        <v>49</v>
      </c>
      <c r="K19" t="s">
        <v>50</v>
      </c>
      <c r="L19" t="s">
        <v>49</v>
      </c>
    </row>
    <row r="20" spans="1:12" x14ac:dyDescent="0.45">
      <c r="A20" t="s">
        <v>51</v>
      </c>
      <c r="B20" t="s">
        <v>5</v>
      </c>
      <c r="C20" t="s">
        <v>5</v>
      </c>
      <c r="D20" t="s">
        <v>5</v>
      </c>
      <c r="E20" t="s">
        <v>5</v>
      </c>
      <c r="F20" t="s">
        <v>5</v>
      </c>
      <c r="G20" t="s">
        <v>5</v>
      </c>
      <c r="H20" t="s">
        <v>5</v>
      </c>
      <c r="I20" t="s">
        <v>5</v>
      </c>
      <c r="J20" t="s">
        <v>52</v>
      </c>
      <c r="K20" t="s">
        <v>53</v>
      </c>
      <c r="L20" t="s">
        <v>52</v>
      </c>
    </row>
    <row r="21" spans="1:12" x14ac:dyDescent="0.45">
      <c r="A21" t="s">
        <v>54</v>
      </c>
      <c r="B21" t="s">
        <v>5</v>
      </c>
      <c r="C21" t="s">
        <v>5</v>
      </c>
      <c r="D21" t="s">
        <v>5</v>
      </c>
      <c r="E21" t="s">
        <v>5</v>
      </c>
      <c r="F21" t="s">
        <v>5</v>
      </c>
      <c r="G21" t="s">
        <v>5</v>
      </c>
      <c r="H21" t="s">
        <v>5</v>
      </c>
      <c r="I21" t="s">
        <v>5</v>
      </c>
      <c r="J21" t="s">
        <v>55</v>
      </c>
      <c r="K21" t="s">
        <v>56</v>
      </c>
      <c r="L21" t="s">
        <v>55</v>
      </c>
    </row>
    <row r="22" spans="1:12" x14ac:dyDescent="0.45">
      <c r="A22" t="s">
        <v>57</v>
      </c>
      <c r="B22" t="s">
        <v>5</v>
      </c>
      <c r="C22" t="s">
        <v>5</v>
      </c>
      <c r="D22" t="s">
        <v>5</v>
      </c>
      <c r="E22" t="s">
        <v>5</v>
      </c>
      <c r="F22" t="s">
        <v>5</v>
      </c>
      <c r="G22" t="s">
        <v>5</v>
      </c>
      <c r="H22" t="s">
        <v>5</v>
      </c>
      <c r="I22" t="s">
        <v>5</v>
      </c>
      <c r="J22" t="s">
        <v>58</v>
      </c>
      <c r="K22" t="s">
        <v>59</v>
      </c>
      <c r="L22" t="s">
        <v>58</v>
      </c>
    </row>
    <row r="23" spans="1:12" x14ac:dyDescent="0.45">
      <c r="A23" t="s">
        <v>60</v>
      </c>
      <c r="B23" t="s">
        <v>61</v>
      </c>
      <c r="C23" t="s">
        <v>5</v>
      </c>
      <c r="D23" t="s">
        <v>5</v>
      </c>
      <c r="E23" t="s">
        <v>62</v>
      </c>
      <c r="F23" t="s">
        <v>5</v>
      </c>
      <c r="G23" t="s">
        <v>5</v>
      </c>
      <c r="H23" t="s">
        <v>5</v>
      </c>
      <c r="I23" t="s">
        <v>5</v>
      </c>
      <c r="J23" t="s">
        <v>63</v>
      </c>
      <c r="K23" t="s">
        <v>64</v>
      </c>
      <c r="L23" t="s">
        <v>63</v>
      </c>
    </row>
    <row r="24" spans="1:12" x14ac:dyDescent="0.45">
      <c r="A24" t="s">
        <v>65</v>
      </c>
      <c r="B24" t="s">
        <v>66</v>
      </c>
      <c r="C24" t="s">
        <v>67</v>
      </c>
      <c r="D24" t="s">
        <v>5</v>
      </c>
      <c r="E24" t="s">
        <v>68</v>
      </c>
      <c r="F24" t="s">
        <v>5</v>
      </c>
      <c r="G24" t="s">
        <v>5</v>
      </c>
      <c r="H24" t="s">
        <v>5</v>
      </c>
      <c r="I24" t="s">
        <v>5</v>
      </c>
      <c r="J24" t="s">
        <v>69</v>
      </c>
      <c r="K24" t="s">
        <v>70</v>
      </c>
      <c r="L24" t="s">
        <v>69</v>
      </c>
    </row>
    <row r="25" spans="1:12" x14ac:dyDescent="0.45">
      <c r="A25" t="s">
        <v>71</v>
      </c>
      <c r="B25" t="s">
        <v>72</v>
      </c>
      <c r="C25" t="s">
        <v>73</v>
      </c>
      <c r="D25" t="s">
        <v>5</v>
      </c>
      <c r="E25" t="s">
        <v>74</v>
      </c>
      <c r="F25" t="s">
        <v>5</v>
      </c>
      <c r="G25" t="s">
        <v>5</v>
      </c>
      <c r="H25" t="s">
        <v>5</v>
      </c>
      <c r="I25" t="s">
        <v>5</v>
      </c>
      <c r="J25" t="s">
        <v>75</v>
      </c>
      <c r="K25" t="s">
        <v>76</v>
      </c>
      <c r="L25" t="s">
        <v>75</v>
      </c>
    </row>
    <row r="26" spans="1:12" x14ac:dyDescent="0.45">
      <c r="A26" t="s">
        <v>77</v>
      </c>
      <c r="B26" t="s">
        <v>78</v>
      </c>
      <c r="C26" t="s">
        <v>79</v>
      </c>
      <c r="D26" t="s">
        <v>5</v>
      </c>
      <c r="E26" t="s">
        <v>80</v>
      </c>
      <c r="F26" t="s">
        <v>5</v>
      </c>
      <c r="G26" t="s">
        <v>5</v>
      </c>
      <c r="H26" t="s">
        <v>5</v>
      </c>
      <c r="I26" t="s">
        <v>5</v>
      </c>
      <c r="J26" t="s">
        <v>81</v>
      </c>
      <c r="K26" t="s">
        <v>82</v>
      </c>
      <c r="L26" t="s">
        <v>81</v>
      </c>
    </row>
    <row r="27" spans="1:12" x14ac:dyDescent="0.45">
      <c r="A27" t="s">
        <v>83</v>
      </c>
      <c r="B27" t="s">
        <v>84</v>
      </c>
      <c r="C27" t="s">
        <v>85</v>
      </c>
      <c r="D27" t="s">
        <v>86</v>
      </c>
      <c r="E27" t="s">
        <v>87</v>
      </c>
      <c r="F27" t="s">
        <v>88</v>
      </c>
      <c r="G27" t="s">
        <v>88</v>
      </c>
      <c r="H27" t="s">
        <v>88</v>
      </c>
      <c r="I27" t="s">
        <v>86</v>
      </c>
      <c r="J27" t="s">
        <v>75</v>
      </c>
      <c r="K27" t="s">
        <v>89</v>
      </c>
      <c r="L27" t="s">
        <v>75</v>
      </c>
    </row>
    <row r="28" spans="1:12" x14ac:dyDescent="0.45">
      <c r="A28" t="s">
        <v>90</v>
      </c>
      <c r="B28" t="s">
        <v>91</v>
      </c>
      <c r="C28" t="s">
        <v>92</v>
      </c>
      <c r="D28" t="s">
        <v>93</v>
      </c>
      <c r="E28" t="s">
        <v>94</v>
      </c>
      <c r="F28" t="s">
        <v>95</v>
      </c>
      <c r="G28" t="s">
        <v>96</v>
      </c>
      <c r="H28" t="s">
        <v>95</v>
      </c>
      <c r="I28" t="s">
        <v>97</v>
      </c>
      <c r="J28" t="s">
        <v>98</v>
      </c>
      <c r="K28" t="s">
        <v>99</v>
      </c>
      <c r="L28" t="s">
        <v>98</v>
      </c>
    </row>
    <row r="29" spans="1:12" x14ac:dyDescent="0.45">
      <c r="A29" t="s">
        <v>100</v>
      </c>
      <c r="B29" t="s">
        <v>101</v>
      </c>
      <c r="C29" t="s">
        <v>102</v>
      </c>
      <c r="D29" t="s">
        <v>103</v>
      </c>
      <c r="E29" t="s">
        <v>104</v>
      </c>
      <c r="F29" t="s">
        <v>105</v>
      </c>
      <c r="G29" t="s">
        <v>106</v>
      </c>
      <c r="H29" t="s">
        <v>105</v>
      </c>
      <c r="I29" t="s">
        <v>107</v>
      </c>
      <c r="J29" t="s">
        <v>108</v>
      </c>
      <c r="K29" t="s">
        <v>109</v>
      </c>
      <c r="L29" t="s">
        <v>108</v>
      </c>
    </row>
    <row r="30" spans="1:12" x14ac:dyDescent="0.45">
      <c r="A30" t="s">
        <v>110</v>
      </c>
      <c r="B30" t="s">
        <v>111</v>
      </c>
      <c r="C30" t="s">
        <v>112</v>
      </c>
      <c r="D30" t="s">
        <v>113</v>
      </c>
      <c r="E30" t="s">
        <v>114</v>
      </c>
      <c r="F30" t="s">
        <v>115</v>
      </c>
      <c r="G30" t="s">
        <v>113</v>
      </c>
      <c r="H30" t="s">
        <v>115</v>
      </c>
      <c r="I30" t="s">
        <v>116</v>
      </c>
      <c r="J30" t="s">
        <v>117</v>
      </c>
      <c r="K30" t="s">
        <v>118</v>
      </c>
      <c r="L30" t="s">
        <v>117</v>
      </c>
    </row>
    <row r="31" spans="1:12" x14ac:dyDescent="0.45">
      <c r="A31" t="s">
        <v>119</v>
      </c>
      <c r="B31" t="s">
        <v>120</v>
      </c>
      <c r="C31" t="s">
        <v>121</v>
      </c>
      <c r="D31" t="s">
        <v>122</v>
      </c>
      <c r="E31" t="s">
        <v>123</v>
      </c>
      <c r="F31" t="s">
        <v>124</v>
      </c>
      <c r="G31" t="s">
        <v>124</v>
      </c>
      <c r="H31" t="s">
        <v>124</v>
      </c>
      <c r="I31" t="s">
        <v>122</v>
      </c>
      <c r="J31" t="s">
        <v>125</v>
      </c>
      <c r="K31" t="s">
        <v>126</v>
      </c>
      <c r="L31" t="s">
        <v>125</v>
      </c>
    </row>
    <row r="32" spans="1:12" x14ac:dyDescent="0.45">
      <c r="A32" t="s">
        <v>127</v>
      </c>
      <c r="B32" t="s">
        <v>128</v>
      </c>
      <c r="C32" t="s">
        <v>129</v>
      </c>
      <c r="D32" t="s">
        <v>122</v>
      </c>
      <c r="E32" t="s">
        <v>130</v>
      </c>
      <c r="F32" t="s">
        <v>131</v>
      </c>
      <c r="G32" t="s">
        <v>132</v>
      </c>
      <c r="H32" t="s">
        <v>131</v>
      </c>
      <c r="I32" t="s">
        <v>133</v>
      </c>
      <c r="J32" t="s">
        <v>134</v>
      </c>
      <c r="K32" t="s">
        <v>135</v>
      </c>
      <c r="L32" t="s">
        <v>134</v>
      </c>
    </row>
    <row r="33" spans="1:12" x14ac:dyDescent="0.45">
      <c r="A33" t="s">
        <v>136</v>
      </c>
      <c r="B33" t="s">
        <v>137</v>
      </c>
      <c r="C33" t="s">
        <v>138</v>
      </c>
      <c r="D33" t="s">
        <v>139</v>
      </c>
      <c r="E33" t="s">
        <v>140</v>
      </c>
      <c r="F33" t="s">
        <v>141</v>
      </c>
      <c r="G33" t="s">
        <v>139</v>
      </c>
      <c r="H33" t="s">
        <v>141</v>
      </c>
      <c r="I33" t="s">
        <v>142</v>
      </c>
      <c r="J33" t="s">
        <v>86</v>
      </c>
      <c r="K33" t="s">
        <v>143</v>
      </c>
      <c r="L33" t="s">
        <v>86</v>
      </c>
    </row>
    <row r="34" spans="1:12" x14ac:dyDescent="0.45">
      <c r="A34" t="s">
        <v>144</v>
      </c>
      <c r="B34" t="s">
        <v>145</v>
      </c>
      <c r="C34" t="s">
        <v>146</v>
      </c>
      <c r="D34" t="s">
        <v>147</v>
      </c>
      <c r="E34" t="s">
        <v>148</v>
      </c>
      <c r="F34" t="s">
        <v>149</v>
      </c>
      <c r="G34" t="s">
        <v>147</v>
      </c>
      <c r="H34" t="s">
        <v>149</v>
      </c>
      <c r="I34" t="s">
        <v>149</v>
      </c>
      <c r="J34" t="s">
        <v>150</v>
      </c>
      <c r="K34" t="s">
        <v>151</v>
      </c>
      <c r="L34" t="s">
        <v>150</v>
      </c>
    </row>
    <row r="35" spans="1:12" x14ac:dyDescent="0.45">
      <c r="A35" t="s">
        <v>152</v>
      </c>
      <c r="B35" t="s">
        <v>153</v>
      </c>
      <c r="C35" t="s">
        <v>154</v>
      </c>
      <c r="D35" t="s">
        <v>155</v>
      </c>
      <c r="E35" t="s">
        <v>156</v>
      </c>
      <c r="F35" t="s">
        <v>157</v>
      </c>
      <c r="G35" t="s">
        <v>157</v>
      </c>
      <c r="H35" t="s">
        <v>157</v>
      </c>
      <c r="I35" t="s">
        <v>155</v>
      </c>
      <c r="J35" t="s">
        <v>158</v>
      </c>
      <c r="K35" t="s">
        <v>159</v>
      </c>
      <c r="L35" t="s">
        <v>158</v>
      </c>
    </row>
    <row r="36" spans="1:12" x14ac:dyDescent="0.45">
      <c r="A36" t="s">
        <v>160</v>
      </c>
      <c r="B36" t="s">
        <v>161</v>
      </c>
      <c r="C36" t="s">
        <v>162</v>
      </c>
      <c r="D36" t="s">
        <v>163</v>
      </c>
      <c r="E36" t="s">
        <v>164</v>
      </c>
      <c r="F36" t="s">
        <v>165</v>
      </c>
      <c r="G36" t="s">
        <v>158</v>
      </c>
      <c r="H36" t="s">
        <v>165</v>
      </c>
      <c r="I36" t="s">
        <v>166</v>
      </c>
      <c r="J36" t="s">
        <v>95</v>
      </c>
      <c r="K36" t="s">
        <v>167</v>
      </c>
      <c r="L36" t="s">
        <v>95</v>
      </c>
    </row>
    <row r="37" spans="1:12" x14ac:dyDescent="0.45">
      <c r="A37" t="s">
        <v>168</v>
      </c>
      <c r="B37" t="s">
        <v>169</v>
      </c>
      <c r="C37" t="s">
        <v>170</v>
      </c>
      <c r="D37" t="s">
        <v>171</v>
      </c>
      <c r="E37" t="s">
        <v>172</v>
      </c>
      <c r="F37" t="s">
        <v>81</v>
      </c>
      <c r="G37" t="s">
        <v>52</v>
      </c>
      <c r="H37" t="s">
        <v>81</v>
      </c>
      <c r="I37" t="s">
        <v>173</v>
      </c>
      <c r="J37" t="s">
        <v>174</v>
      </c>
      <c r="K37" t="s">
        <v>175</v>
      </c>
      <c r="L37" t="s">
        <v>174</v>
      </c>
    </row>
    <row r="38" spans="1:12" x14ac:dyDescent="0.45">
      <c r="A38" t="s">
        <v>176</v>
      </c>
      <c r="B38" t="s">
        <v>177</v>
      </c>
      <c r="C38" t="s">
        <v>178</v>
      </c>
      <c r="D38" t="s">
        <v>179</v>
      </c>
      <c r="E38" t="s">
        <v>180</v>
      </c>
      <c r="F38" t="s">
        <v>181</v>
      </c>
      <c r="G38" t="s">
        <v>179</v>
      </c>
      <c r="H38" t="s">
        <v>181</v>
      </c>
      <c r="I38" t="s">
        <v>182</v>
      </c>
      <c r="J38" t="s">
        <v>183</v>
      </c>
      <c r="K38" t="s">
        <v>184</v>
      </c>
      <c r="L38" t="s">
        <v>183</v>
      </c>
    </row>
    <row r="39" spans="1:12" x14ac:dyDescent="0.45">
      <c r="A39" t="s">
        <v>185</v>
      </c>
      <c r="B39" t="s">
        <v>186</v>
      </c>
      <c r="C39" t="s">
        <v>187</v>
      </c>
      <c r="D39" t="s">
        <v>188</v>
      </c>
      <c r="E39" t="s">
        <v>189</v>
      </c>
      <c r="F39" t="s">
        <v>190</v>
      </c>
      <c r="G39" t="s">
        <v>190</v>
      </c>
      <c r="H39" t="s">
        <v>190</v>
      </c>
      <c r="I39" t="s">
        <v>188</v>
      </c>
      <c r="J39" t="s">
        <v>170</v>
      </c>
      <c r="K39" t="s">
        <v>191</v>
      </c>
      <c r="L39" t="s">
        <v>170</v>
      </c>
    </row>
    <row r="40" spans="1:12" x14ac:dyDescent="0.45">
      <c r="A40" t="s">
        <v>192</v>
      </c>
      <c r="B40" t="s">
        <v>193</v>
      </c>
      <c r="C40" t="s">
        <v>194</v>
      </c>
      <c r="D40" t="s">
        <v>195</v>
      </c>
      <c r="E40" t="s">
        <v>196</v>
      </c>
      <c r="F40" t="s">
        <v>197</v>
      </c>
      <c r="G40" t="s">
        <v>198</v>
      </c>
      <c r="H40" t="s">
        <v>197</v>
      </c>
      <c r="I40" t="s">
        <v>199</v>
      </c>
      <c r="J40" t="s">
        <v>200</v>
      </c>
      <c r="K40" t="s">
        <v>201</v>
      </c>
      <c r="L40" t="s">
        <v>200</v>
      </c>
    </row>
    <row r="41" spans="1:12" x14ac:dyDescent="0.45">
      <c r="A41" t="s">
        <v>202</v>
      </c>
      <c r="B41" t="s">
        <v>203</v>
      </c>
      <c r="C41" t="s">
        <v>204</v>
      </c>
      <c r="D41" t="s">
        <v>205</v>
      </c>
      <c r="E41" t="s">
        <v>206</v>
      </c>
      <c r="F41" t="s">
        <v>207</v>
      </c>
      <c r="G41" t="s">
        <v>205</v>
      </c>
      <c r="H41" t="s">
        <v>207</v>
      </c>
      <c r="I41" t="s">
        <v>208</v>
      </c>
      <c r="J41" t="s">
        <v>209</v>
      </c>
      <c r="K41" t="s">
        <v>210</v>
      </c>
      <c r="L41" t="s">
        <v>209</v>
      </c>
    </row>
    <row r="42" spans="1:12" x14ac:dyDescent="0.45">
      <c r="A42" t="s">
        <v>211</v>
      </c>
      <c r="B42" t="s">
        <v>212</v>
      </c>
      <c r="C42" t="s">
        <v>204</v>
      </c>
      <c r="D42" t="s">
        <v>213</v>
      </c>
      <c r="E42" t="s">
        <v>214</v>
      </c>
      <c r="F42" t="s">
        <v>215</v>
      </c>
      <c r="G42" t="s">
        <v>213</v>
      </c>
      <c r="H42" t="s">
        <v>215</v>
      </c>
      <c r="I42" t="s">
        <v>216</v>
      </c>
      <c r="J42" t="s">
        <v>217</v>
      </c>
      <c r="K42" t="s">
        <v>218</v>
      </c>
      <c r="L42" t="s">
        <v>217</v>
      </c>
    </row>
    <row r="43" spans="1:12" x14ac:dyDescent="0.45">
      <c r="A43" t="s">
        <v>219</v>
      </c>
      <c r="B43" t="s">
        <v>220</v>
      </c>
      <c r="C43" t="s">
        <v>221</v>
      </c>
      <c r="D43" t="s">
        <v>222</v>
      </c>
      <c r="E43" t="s">
        <v>223</v>
      </c>
      <c r="F43" t="s">
        <v>222</v>
      </c>
      <c r="G43" t="s">
        <v>222</v>
      </c>
      <c r="H43" t="s">
        <v>222</v>
      </c>
      <c r="I43" t="s">
        <v>222</v>
      </c>
      <c r="J43" t="s">
        <v>224</v>
      </c>
      <c r="K43" t="s">
        <v>225</v>
      </c>
      <c r="L43" t="s">
        <v>224</v>
      </c>
    </row>
    <row r="44" spans="1:12" x14ac:dyDescent="0.45">
      <c r="A44" t="s">
        <v>226</v>
      </c>
      <c r="B44" t="s">
        <v>227</v>
      </c>
      <c r="C44" t="s">
        <v>228</v>
      </c>
      <c r="D44" t="s">
        <v>229</v>
      </c>
      <c r="E44" t="s">
        <v>230</v>
      </c>
      <c r="F44" t="s">
        <v>231</v>
      </c>
      <c r="G44" t="s">
        <v>232</v>
      </c>
      <c r="H44" t="s">
        <v>231</v>
      </c>
      <c r="I44" t="s">
        <v>233</v>
      </c>
      <c r="J44" t="s">
        <v>234</v>
      </c>
      <c r="K44" t="s">
        <v>235</v>
      </c>
      <c r="L44" t="s">
        <v>234</v>
      </c>
    </row>
    <row r="45" spans="1:12" x14ac:dyDescent="0.45">
      <c r="A45" t="s">
        <v>236</v>
      </c>
      <c r="B45" t="s">
        <v>237</v>
      </c>
      <c r="C45" t="s">
        <v>238</v>
      </c>
      <c r="D45" t="s">
        <v>229</v>
      </c>
      <c r="E45" t="s">
        <v>239</v>
      </c>
      <c r="F45" t="s">
        <v>240</v>
      </c>
      <c r="G45" t="s">
        <v>37</v>
      </c>
      <c r="H45" t="s">
        <v>240</v>
      </c>
      <c r="I45" t="s">
        <v>229</v>
      </c>
      <c r="J45" t="s">
        <v>241</v>
      </c>
      <c r="K45" t="s">
        <v>242</v>
      </c>
      <c r="L45" t="s">
        <v>241</v>
      </c>
    </row>
    <row r="46" spans="1:12" x14ac:dyDescent="0.45">
      <c r="A46" t="s">
        <v>243</v>
      </c>
      <c r="B46" t="s">
        <v>244</v>
      </c>
      <c r="C46" t="s">
        <v>245</v>
      </c>
      <c r="D46" t="s">
        <v>246</v>
      </c>
      <c r="E46" t="s">
        <v>247</v>
      </c>
      <c r="F46" t="s">
        <v>248</v>
      </c>
      <c r="G46" t="s">
        <v>246</v>
      </c>
      <c r="H46" t="s">
        <v>248</v>
      </c>
      <c r="I46" t="s">
        <v>249</v>
      </c>
      <c r="J46" t="s">
        <v>250</v>
      </c>
      <c r="K46" t="s">
        <v>251</v>
      </c>
      <c r="L46" t="s">
        <v>250</v>
      </c>
    </row>
    <row r="47" spans="1:12" x14ac:dyDescent="0.45">
      <c r="A47" t="s">
        <v>252</v>
      </c>
      <c r="B47" t="s">
        <v>253</v>
      </c>
      <c r="C47" t="s">
        <v>254</v>
      </c>
      <c r="D47" t="s">
        <v>113</v>
      </c>
      <c r="E47" t="s">
        <v>255</v>
      </c>
      <c r="F47" t="s">
        <v>256</v>
      </c>
      <c r="G47" t="s">
        <v>256</v>
      </c>
      <c r="H47" t="s">
        <v>256</v>
      </c>
      <c r="I47" t="s">
        <v>113</v>
      </c>
      <c r="J47" t="s">
        <v>257</v>
      </c>
      <c r="K47" t="s">
        <v>258</v>
      </c>
      <c r="L47" t="s">
        <v>257</v>
      </c>
    </row>
    <row r="48" spans="1:12" x14ac:dyDescent="0.45">
      <c r="A48" t="s">
        <v>259</v>
      </c>
      <c r="B48" t="s">
        <v>260</v>
      </c>
      <c r="C48" t="s">
        <v>261</v>
      </c>
      <c r="D48" t="s">
        <v>262</v>
      </c>
      <c r="E48" t="s">
        <v>263</v>
      </c>
      <c r="F48" t="s">
        <v>122</v>
      </c>
      <c r="G48" t="s">
        <v>132</v>
      </c>
      <c r="H48" t="s">
        <v>122</v>
      </c>
      <c r="I48" t="s">
        <v>264</v>
      </c>
      <c r="J48" t="s">
        <v>265</v>
      </c>
      <c r="K48" t="s">
        <v>266</v>
      </c>
      <c r="L48" t="s">
        <v>265</v>
      </c>
    </row>
    <row r="49" spans="1:12" x14ac:dyDescent="0.45">
      <c r="A49" t="s">
        <v>267</v>
      </c>
      <c r="B49" t="s">
        <v>268</v>
      </c>
      <c r="C49" t="s">
        <v>269</v>
      </c>
      <c r="D49" t="s">
        <v>270</v>
      </c>
      <c r="E49" t="s">
        <v>271</v>
      </c>
      <c r="F49" t="s">
        <v>272</v>
      </c>
      <c r="G49" t="s">
        <v>273</v>
      </c>
      <c r="H49" t="s">
        <v>272</v>
      </c>
      <c r="I49" t="s">
        <v>274</v>
      </c>
      <c r="J49" t="s">
        <v>275</v>
      </c>
      <c r="K49" t="s">
        <v>276</v>
      </c>
      <c r="L49" t="s">
        <v>275</v>
      </c>
    </row>
    <row r="50" spans="1:12" x14ac:dyDescent="0.45">
      <c r="A50" t="s">
        <v>277</v>
      </c>
      <c r="B50" t="s">
        <v>278</v>
      </c>
      <c r="C50" t="s">
        <v>221</v>
      </c>
      <c r="D50" t="s">
        <v>279</v>
      </c>
      <c r="E50" t="s">
        <v>280</v>
      </c>
      <c r="F50" t="s">
        <v>281</v>
      </c>
      <c r="G50" t="s">
        <v>279</v>
      </c>
      <c r="H50" t="s">
        <v>281</v>
      </c>
      <c r="I50" t="s">
        <v>282</v>
      </c>
      <c r="J50" t="s">
        <v>283</v>
      </c>
      <c r="K50" t="s">
        <v>284</v>
      </c>
      <c r="L50" t="s">
        <v>283</v>
      </c>
    </row>
    <row r="51" spans="1:12" x14ac:dyDescent="0.45">
      <c r="A51" t="s">
        <v>285</v>
      </c>
      <c r="B51" t="s">
        <v>286</v>
      </c>
      <c r="C51" t="s">
        <v>287</v>
      </c>
      <c r="D51" t="s">
        <v>69</v>
      </c>
      <c r="E51" t="s">
        <v>288</v>
      </c>
      <c r="F51" t="s">
        <v>289</v>
      </c>
      <c r="G51" t="s">
        <v>289</v>
      </c>
      <c r="H51" t="s">
        <v>289</v>
      </c>
      <c r="I51" t="s">
        <v>69</v>
      </c>
      <c r="J51" t="s">
        <v>290</v>
      </c>
      <c r="K51" t="s">
        <v>291</v>
      </c>
      <c r="L51" t="s">
        <v>290</v>
      </c>
    </row>
    <row r="52" spans="1:12" x14ac:dyDescent="0.45">
      <c r="A52" t="s">
        <v>292</v>
      </c>
      <c r="B52" t="s">
        <v>293</v>
      </c>
      <c r="C52" t="s">
        <v>294</v>
      </c>
      <c r="D52" t="s">
        <v>295</v>
      </c>
      <c r="E52" t="s">
        <v>296</v>
      </c>
      <c r="F52" t="s">
        <v>297</v>
      </c>
      <c r="G52" t="s">
        <v>298</v>
      </c>
      <c r="H52" t="s">
        <v>297</v>
      </c>
      <c r="I52" t="s">
        <v>299</v>
      </c>
      <c r="J52" t="s">
        <v>158</v>
      </c>
      <c r="K52" t="s">
        <v>300</v>
      </c>
      <c r="L52" t="s">
        <v>158</v>
      </c>
    </row>
    <row r="53" spans="1:12" x14ac:dyDescent="0.45">
      <c r="A53" t="s">
        <v>301</v>
      </c>
      <c r="B53" t="s">
        <v>302</v>
      </c>
      <c r="C53" t="s">
        <v>303</v>
      </c>
      <c r="D53" t="s">
        <v>171</v>
      </c>
      <c r="E53" t="s">
        <v>304</v>
      </c>
      <c r="F53" t="s">
        <v>305</v>
      </c>
      <c r="G53" t="s">
        <v>306</v>
      </c>
      <c r="H53" t="s">
        <v>305</v>
      </c>
      <c r="I53" t="s">
        <v>307</v>
      </c>
      <c r="J53" t="s">
        <v>308</v>
      </c>
      <c r="K53" t="s">
        <v>309</v>
      </c>
      <c r="L53" t="s">
        <v>308</v>
      </c>
    </row>
    <row r="54" spans="1:12" x14ac:dyDescent="0.45">
      <c r="A54" t="s">
        <v>310</v>
      </c>
      <c r="B54" t="s">
        <v>311</v>
      </c>
      <c r="C54" t="s">
        <v>312</v>
      </c>
      <c r="D54" t="s">
        <v>313</v>
      </c>
      <c r="E54" t="s">
        <v>314</v>
      </c>
      <c r="F54" t="s">
        <v>315</v>
      </c>
      <c r="G54" t="s">
        <v>313</v>
      </c>
      <c r="H54" t="s">
        <v>315</v>
      </c>
      <c r="I54" t="s">
        <v>316</v>
      </c>
      <c r="J54" t="s">
        <v>317</v>
      </c>
      <c r="K54" t="s">
        <v>318</v>
      </c>
      <c r="L54" t="s">
        <v>317</v>
      </c>
    </row>
    <row r="55" spans="1:12" x14ac:dyDescent="0.45">
      <c r="A55" t="s">
        <v>319</v>
      </c>
      <c r="B55" t="s">
        <v>320</v>
      </c>
      <c r="C55" t="s">
        <v>321</v>
      </c>
      <c r="D55" t="s">
        <v>322</v>
      </c>
      <c r="E55" t="s">
        <v>323</v>
      </c>
      <c r="F55" t="s">
        <v>324</v>
      </c>
      <c r="G55" t="s">
        <v>324</v>
      </c>
      <c r="H55" t="s">
        <v>324</v>
      </c>
      <c r="I55" t="s">
        <v>322</v>
      </c>
      <c r="J55" t="s">
        <v>325</v>
      </c>
      <c r="K55" t="s">
        <v>326</v>
      </c>
      <c r="L55" t="s">
        <v>325</v>
      </c>
    </row>
    <row r="56" spans="1:12" x14ac:dyDescent="0.45">
      <c r="A56" t="s">
        <v>327</v>
      </c>
      <c r="B56" t="s">
        <v>328</v>
      </c>
      <c r="C56" t="s">
        <v>317</v>
      </c>
      <c r="D56" t="s">
        <v>329</v>
      </c>
      <c r="E56" t="s">
        <v>330</v>
      </c>
      <c r="F56" t="s">
        <v>331</v>
      </c>
      <c r="G56" t="s">
        <v>332</v>
      </c>
      <c r="H56" t="s">
        <v>331</v>
      </c>
      <c r="I56" t="s">
        <v>333</v>
      </c>
      <c r="J56" t="s">
        <v>334</v>
      </c>
      <c r="K56" t="s">
        <v>335</v>
      </c>
      <c r="L56" t="s">
        <v>334</v>
      </c>
    </row>
    <row r="57" spans="1:12" x14ac:dyDescent="0.45">
      <c r="A57" t="s">
        <v>336</v>
      </c>
      <c r="B57" t="s">
        <v>337</v>
      </c>
      <c r="C57" t="s">
        <v>338</v>
      </c>
      <c r="D57" t="s">
        <v>339</v>
      </c>
      <c r="E57" t="s">
        <v>340</v>
      </c>
      <c r="F57" t="s">
        <v>134</v>
      </c>
      <c r="G57" t="s">
        <v>341</v>
      </c>
      <c r="H57" t="s">
        <v>134</v>
      </c>
      <c r="I57" t="s">
        <v>342</v>
      </c>
      <c r="J57" t="s">
        <v>343</v>
      </c>
      <c r="K57" t="s">
        <v>344</v>
      </c>
      <c r="L57" t="s">
        <v>343</v>
      </c>
    </row>
    <row r="58" spans="1:12" x14ac:dyDescent="0.45">
      <c r="A58" t="s">
        <v>345</v>
      </c>
      <c r="B58" t="s">
        <v>346</v>
      </c>
      <c r="C58" t="s">
        <v>347</v>
      </c>
      <c r="D58" t="s">
        <v>348</v>
      </c>
      <c r="E58" t="s">
        <v>349</v>
      </c>
      <c r="F58" t="s">
        <v>350</v>
      </c>
      <c r="G58" t="s">
        <v>348</v>
      </c>
      <c r="H58" t="s">
        <v>350</v>
      </c>
      <c r="I58" t="s">
        <v>351</v>
      </c>
      <c r="J58" t="s">
        <v>352</v>
      </c>
      <c r="K58" t="s">
        <v>353</v>
      </c>
      <c r="L58" t="s">
        <v>352</v>
      </c>
    </row>
    <row r="59" spans="1:12" x14ac:dyDescent="0.45">
      <c r="A59" t="s">
        <v>354</v>
      </c>
      <c r="B59" t="s">
        <v>355</v>
      </c>
      <c r="C59" t="s">
        <v>356</v>
      </c>
      <c r="D59" t="s">
        <v>88</v>
      </c>
      <c r="E59" t="s">
        <v>357</v>
      </c>
      <c r="F59" t="s">
        <v>358</v>
      </c>
      <c r="G59" t="s">
        <v>358</v>
      </c>
      <c r="H59" t="s">
        <v>358</v>
      </c>
      <c r="I59" t="s">
        <v>88</v>
      </c>
      <c r="J59" t="s">
        <v>359</v>
      </c>
      <c r="K59" t="s">
        <v>360</v>
      </c>
      <c r="L59" t="s">
        <v>359</v>
      </c>
    </row>
    <row r="60" spans="1:12" x14ac:dyDescent="0.45">
      <c r="A60" t="s">
        <v>361</v>
      </c>
      <c r="B60" t="s">
        <v>362</v>
      </c>
      <c r="C60" t="s">
        <v>195</v>
      </c>
      <c r="D60" t="s">
        <v>363</v>
      </c>
      <c r="E60" t="s">
        <v>364</v>
      </c>
      <c r="F60" t="s">
        <v>365</v>
      </c>
      <c r="G60" t="s">
        <v>366</v>
      </c>
      <c r="H60" t="s">
        <v>365</v>
      </c>
      <c r="I60" t="s">
        <v>367</v>
      </c>
      <c r="J60" t="s">
        <v>368</v>
      </c>
      <c r="K60" t="s">
        <v>369</v>
      </c>
      <c r="L60" t="s">
        <v>368</v>
      </c>
    </row>
    <row r="61" spans="1:12" x14ac:dyDescent="0.45">
      <c r="A61" t="s">
        <v>370</v>
      </c>
      <c r="B61" t="s">
        <v>371</v>
      </c>
      <c r="C61" t="s">
        <v>372</v>
      </c>
      <c r="D61" t="s">
        <v>373</v>
      </c>
      <c r="E61" t="s">
        <v>374</v>
      </c>
      <c r="F61" t="s">
        <v>375</v>
      </c>
      <c r="G61" t="s">
        <v>299</v>
      </c>
      <c r="H61" t="s">
        <v>375</v>
      </c>
      <c r="I61" t="s">
        <v>376</v>
      </c>
      <c r="J61" t="s">
        <v>313</v>
      </c>
      <c r="K61" t="s">
        <v>377</v>
      </c>
      <c r="L61" t="s">
        <v>313</v>
      </c>
    </row>
    <row r="62" spans="1:12" x14ac:dyDescent="0.45">
      <c r="A62" t="s">
        <v>378</v>
      </c>
      <c r="B62" t="s">
        <v>379</v>
      </c>
      <c r="C62" t="s">
        <v>380</v>
      </c>
      <c r="D62" t="s">
        <v>381</v>
      </c>
      <c r="E62" t="s">
        <v>382</v>
      </c>
      <c r="F62" t="s">
        <v>383</v>
      </c>
      <c r="G62" t="s">
        <v>381</v>
      </c>
      <c r="H62" t="s">
        <v>383</v>
      </c>
      <c r="I62" t="s">
        <v>384</v>
      </c>
      <c r="J62" t="s">
        <v>179</v>
      </c>
      <c r="K62" t="s">
        <v>385</v>
      </c>
      <c r="L62" t="s">
        <v>179</v>
      </c>
    </row>
    <row r="63" spans="1:12" x14ac:dyDescent="0.45">
      <c r="A63" t="s">
        <v>386</v>
      </c>
      <c r="B63" t="s">
        <v>387</v>
      </c>
      <c r="C63" t="s">
        <v>388</v>
      </c>
      <c r="D63" t="s">
        <v>217</v>
      </c>
      <c r="E63" t="s">
        <v>389</v>
      </c>
      <c r="F63" t="s">
        <v>390</v>
      </c>
      <c r="G63" t="s">
        <v>390</v>
      </c>
      <c r="H63" t="s">
        <v>390</v>
      </c>
      <c r="I63" t="s">
        <v>217</v>
      </c>
      <c r="J63" t="s">
        <v>391</v>
      </c>
      <c r="K63" t="s">
        <v>392</v>
      </c>
      <c r="L63" t="s">
        <v>391</v>
      </c>
    </row>
    <row r="64" spans="1:12" x14ac:dyDescent="0.45">
      <c r="A64" t="s">
        <v>393</v>
      </c>
      <c r="B64" t="s">
        <v>394</v>
      </c>
      <c r="C64" t="s">
        <v>395</v>
      </c>
      <c r="D64" t="s">
        <v>216</v>
      </c>
      <c r="E64" t="s">
        <v>396</v>
      </c>
      <c r="F64" t="s">
        <v>241</v>
      </c>
      <c r="G64" t="s">
        <v>397</v>
      </c>
      <c r="H64" t="s">
        <v>241</v>
      </c>
      <c r="I64" t="s">
        <v>398</v>
      </c>
      <c r="J64" t="s">
        <v>215</v>
      </c>
      <c r="K64" t="s">
        <v>399</v>
      </c>
      <c r="L64" t="s">
        <v>215</v>
      </c>
    </row>
    <row r="65" spans="1:12" x14ac:dyDescent="0.45">
      <c r="A65" t="s">
        <v>400</v>
      </c>
      <c r="B65" t="s">
        <v>401</v>
      </c>
      <c r="C65" t="s">
        <v>395</v>
      </c>
      <c r="D65" t="s">
        <v>173</v>
      </c>
      <c r="E65" t="s">
        <v>402</v>
      </c>
      <c r="F65" t="s">
        <v>403</v>
      </c>
      <c r="G65" t="s">
        <v>179</v>
      </c>
      <c r="H65" t="s">
        <v>403</v>
      </c>
      <c r="I65" t="s">
        <v>241</v>
      </c>
      <c r="J65" t="s">
        <v>404</v>
      </c>
      <c r="K65" t="s">
        <v>405</v>
      </c>
      <c r="L65" t="s">
        <v>404</v>
      </c>
    </row>
    <row r="66" spans="1:12" x14ac:dyDescent="0.45">
      <c r="A66" t="s">
        <v>406</v>
      </c>
      <c r="B66" t="s">
        <v>407</v>
      </c>
      <c r="C66" t="s">
        <v>408</v>
      </c>
      <c r="D66" t="s">
        <v>409</v>
      </c>
      <c r="E66" t="s">
        <v>410</v>
      </c>
      <c r="F66" t="s">
        <v>411</v>
      </c>
      <c r="G66" t="s">
        <v>409</v>
      </c>
      <c r="H66" t="s">
        <v>411</v>
      </c>
      <c r="I66" t="s">
        <v>102</v>
      </c>
      <c r="J66" t="s">
        <v>412</v>
      </c>
      <c r="K66" t="s">
        <v>413</v>
      </c>
      <c r="L66" t="s">
        <v>412</v>
      </c>
    </row>
    <row r="67" spans="1:12" x14ac:dyDescent="0.45">
      <c r="A67" t="s">
        <v>414</v>
      </c>
      <c r="B67" t="s">
        <v>415</v>
      </c>
      <c r="C67" t="s">
        <v>416</v>
      </c>
      <c r="D67" t="s">
        <v>32</v>
      </c>
      <c r="E67" t="s">
        <v>417</v>
      </c>
      <c r="F67" t="s">
        <v>324</v>
      </c>
      <c r="G67" t="s">
        <v>324</v>
      </c>
      <c r="H67" t="s">
        <v>324</v>
      </c>
      <c r="I67" t="s">
        <v>32</v>
      </c>
      <c r="J67" t="s">
        <v>418</v>
      </c>
      <c r="K67" t="s">
        <v>419</v>
      </c>
      <c r="L67" t="s">
        <v>418</v>
      </c>
    </row>
    <row r="68" spans="1:12" x14ac:dyDescent="0.45">
      <c r="A68" t="s">
        <v>420</v>
      </c>
      <c r="B68" t="s">
        <v>421</v>
      </c>
      <c r="C68" t="s">
        <v>422</v>
      </c>
      <c r="D68" t="s">
        <v>423</v>
      </c>
      <c r="E68" t="s">
        <v>424</v>
      </c>
      <c r="F68" t="s">
        <v>425</v>
      </c>
      <c r="G68" t="s">
        <v>305</v>
      </c>
      <c r="H68" t="s">
        <v>425</v>
      </c>
      <c r="I68" t="s">
        <v>426</v>
      </c>
      <c r="J68" t="s">
        <v>427</v>
      </c>
      <c r="K68" t="s">
        <v>428</v>
      </c>
      <c r="L68" t="s">
        <v>427</v>
      </c>
    </row>
    <row r="69" spans="1:12" x14ac:dyDescent="0.45">
      <c r="A69" t="s">
        <v>429</v>
      </c>
      <c r="B69" t="s">
        <v>430</v>
      </c>
      <c r="C69" t="s">
        <v>431</v>
      </c>
      <c r="D69" t="s">
        <v>432</v>
      </c>
      <c r="E69" t="s">
        <v>433</v>
      </c>
      <c r="F69" t="s">
        <v>287</v>
      </c>
      <c r="G69" t="s">
        <v>434</v>
      </c>
      <c r="H69" t="s">
        <v>287</v>
      </c>
      <c r="I69" t="s">
        <v>356</v>
      </c>
      <c r="J69" t="s">
        <v>435</v>
      </c>
      <c r="K69" t="s">
        <v>436</v>
      </c>
      <c r="L69" t="s">
        <v>435</v>
      </c>
    </row>
    <row r="70" spans="1:12" x14ac:dyDescent="0.45">
      <c r="A70" t="s">
        <v>437</v>
      </c>
      <c r="B70" t="s">
        <v>438</v>
      </c>
      <c r="C70" t="s">
        <v>439</v>
      </c>
      <c r="D70" t="s">
        <v>440</v>
      </c>
      <c r="E70" t="s">
        <v>441</v>
      </c>
      <c r="F70" t="s">
        <v>442</v>
      </c>
      <c r="G70" t="s">
        <v>440</v>
      </c>
      <c r="H70" t="s">
        <v>442</v>
      </c>
      <c r="I70" t="s">
        <v>245</v>
      </c>
      <c r="J70" t="s">
        <v>443</v>
      </c>
      <c r="K70" t="s">
        <v>444</v>
      </c>
      <c r="L70" t="s">
        <v>443</v>
      </c>
    </row>
    <row r="71" spans="1:12" x14ac:dyDescent="0.45">
      <c r="A71" t="s">
        <v>445</v>
      </c>
      <c r="B71" t="s">
        <v>446</v>
      </c>
      <c r="C71" t="s">
        <v>447</v>
      </c>
      <c r="D71" t="s">
        <v>448</v>
      </c>
      <c r="E71" t="s">
        <v>449</v>
      </c>
      <c r="F71" t="s">
        <v>194</v>
      </c>
      <c r="G71" t="s">
        <v>194</v>
      </c>
      <c r="H71" t="s">
        <v>194</v>
      </c>
      <c r="I71" t="s">
        <v>448</v>
      </c>
      <c r="J71" t="s">
        <v>261</v>
      </c>
      <c r="K71" t="s">
        <v>450</v>
      </c>
      <c r="L71" t="s">
        <v>261</v>
      </c>
    </row>
    <row r="72" spans="1:12" x14ac:dyDescent="0.45">
      <c r="A72" t="s">
        <v>451</v>
      </c>
      <c r="B72" t="s">
        <v>452</v>
      </c>
      <c r="C72" t="s">
        <v>453</v>
      </c>
      <c r="D72" t="s">
        <v>454</v>
      </c>
      <c r="E72" t="s">
        <v>455</v>
      </c>
      <c r="F72" t="s">
        <v>456</v>
      </c>
      <c r="G72" t="s">
        <v>457</v>
      </c>
      <c r="H72" t="s">
        <v>456</v>
      </c>
      <c r="I72" t="s">
        <v>458</v>
      </c>
      <c r="J72" t="s">
        <v>459</v>
      </c>
      <c r="K72" t="s">
        <v>460</v>
      </c>
      <c r="L72" t="s">
        <v>459</v>
      </c>
    </row>
    <row r="73" spans="1:12" x14ac:dyDescent="0.45">
      <c r="A73" t="s">
        <v>461</v>
      </c>
      <c r="B73" t="s">
        <v>462</v>
      </c>
      <c r="C73" t="s">
        <v>463</v>
      </c>
      <c r="D73" t="s">
        <v>464</v>
      </c>
      <c r="E73" t="s">
        <v>465</v>
      </c>
      <c r="F73" t="s">
        <v>466</v>
      </c>
      <c r="G73" t="s">
        <v>467</v>
      </c>
      <c r="H73" t="s">
        <v>466</v>
      </c>
      <c r="I73" t="s">
        <v>468</v>
      </c>
      <c r="J73" t="s">
        <v>469</v>
      </c>
      <c r="K73" t="s">
        <v>470</v>
      </c>
      <c r="L73" t="s">
        <v>469</v>
      </c>
    </row>
    <row r="74" spans="1:12" x14ac:dyDescent="0.45">
      <c r="A74" t="s">
        <v>471</v>
      </c>
      <c r="B74" t="s">
        <v>472</v>
      </c>
      <c r="C74" t="s">
        <v>190</v>
      </c>
      <c r="D74" t="s">
        <v>473</v>
      </c>
      <c r="E74" t="s">
        <v>474</v>
      </c>
      <c r="F74" t="s">
        <v>475</v>
      </c>
      <c r="G74" t="s">
        <v>473</v>
      </c>
      <c r="H74" t="s">
        <v>475</v>
      </c>
      <c r="I74" t="s">
        <v>416</v>
      </c>
      <c r="J74" t="s">
        <v>476</v>
      </c>
      <c r="K74" t="s">
        <v>477</v>
      </c>
      <c r="L74" t="s">
        <v>476</v>
      </c>
    </row>
    <row r="75" spans="1:12" x14ac:dyDescent="0.45">
      <c r="A75" t="s">
        <v>478</v>
      </c>
      <c r="B75" t="s">
        <v>479</v>
      </c>
      <c r="C75" t="s">
        <v>480</v>
      </c>
      <c r="D75" t="s">
        <v>102</v>
      </c>
      <c r="E75" t="s">
        <v>481</v>
      </c>
      <c r="F75" t="s">
        <v>482</v>
      </c>
      <c r="G75" t="s">
        <v>482</v>
      </c>
      <c r="H75" t="s">
        <v>482</v>
      </c>
      <c r="I75" t="s">
        <v>102</v>
      </c>
      <c r="J75" t="s">
        <v>5</v>
      </c>
      <c r="K75" t="s">
        <v>5</v>
      </c>
      <c r="L75" t="s">
        <v>5</v>
      </c>
    </row>
    <row r="76" spans="1:12" x14ac:dyDescent="0.45">
      <c r="A76" t="s">
        <v>483</v>
      </c>
      <c r="B76" t="s">
        <v>484</v>
      </c>
      <c r="C76" t="s">
        <v>485</v>
      </c>
      <c r="D76" t="s">
        <v>469</v>
      </c>
      <c r="E76" t="s">
        <v>486</v>
      </c>
      <c r="F76" t="s">
        <v>316</v>
      </c>
      <c r="G76" t="s">
        <v>307</v>
      </c>
      <c r="H76" t="s">
        <v>316</v>
      </c>
      <c r="I76" t="s">
        <v>487</v>
      </c>
      <c r="J76" t="s">
        <v>5</v>
      </c>
      <c r="K76" t="s">
        <v>5</v>
      </c>
      <c r="L76" t="s">
        <v>5</v>
      </c>
    </row>
    <row r="77" spans="1:12" x14ac:dyDescent="0.45">
      <c r="A77" t="s">
        <v>488</v>
      </c>
      <c r="B77" t="s">
        <v>489</v>
      </c>
      <c r="C77" t="s">
        <v>380</v>
      </c>
      <c r="D77" t="s">
        <v>487</v>
      </c>
      <c r="E77" t="s">
        <v>490</v>
      </c>
      <c r="F77" t="s">
        <v>491</v>
      </c>
      <c r="G77" t="s">
        <v>492</v>
      </c>
      <c r="H77" t="s">
        <v>491</v>
      </c>
      <c r="I77" t="s">
        <v>493</v>
      </c>
      <c r="J77" t="s">
        <v>5</v>
      </c>
      <c r="K77" t="s">
        <v>5</v>
      </c>
      <c r="L77" t="s">
        <v>5</v>
      </c>
    </row>
    <row r="78" spans="1:12" x14ac:dyDescent="0.45">
      <c r="A78" t="s">
        <v>494</v>
      </c>
      <c r="B78" t="s">
        <v>495</v>
      </c>
      <c r="C78" t="s">
        <v>422</v>
      </c>
      <c r="D78" t="s">
        <v>496</v>
      </c>
      <c r="E78" t="s">
        <v>497</v>
      </c>
      <c r="F78" t="s">
        <v>317</v>
      </c>
      <c r="G78" t="s">
        <v>496</v>
      </c>
      <c r="H78" t="s">
        <v>317</v>
      </c>
      <c r="I78" t="s">
        <v>498</v>
      </c>
      <c r="J78" t="s">
        <v>5</v>
      </c>
      <c r="K78" t="s">
        <v>5</v>
      </c>
      <c r="L78" t="s">
        <v>5</v>
      </c>
    </row>
    <row r="79" spans="1:12" x14ac:dyDescent="0.45">
      <c r="A79" t="s">
        <v>499</v>
      </c>
      <c r="B79" t="s">
        <v>500</v>
      </c>
      <c r="C79" t="s">
        <v>501</v>
      </c>
      <c r="D79" t="s">
        <v>502</v>
      </c>
      <c r="E79" t="s">
        <v>503</v>
      </c>
      <c r="F79" t="s">
        <v>504</v>
      </c>
      <c r="G79" t="s">
        <v>504</v>
      </c>
      <c r="H79" t="s">
        <v>504</v>
      </c>
      <c r="I79" t="s">
        <v>502</v>
      </c>
      <c r="J79" t="s">
        <v>5</v>
      </c>
      <c r="K79" t="s">
        <v>5</v>
      </c>
      <c r="L79" t="s">
        <v>5</v>
      </c>
    </row>
    <row r="80" spans="1:12" x14ac:dyDescent="0.45">
      <c r="A80" t="s">
        <v>505</v>
      </c>
      <c r="B80" t="s">
        <v>506</v>
      </c>
      <c r="C80" t="s">
        <v>213</v>
      </c>
      <c r="D80" t="s">
        <v>507</v>
      </c>
      <c r="E80" t="s">
        <v>508</v>
      </c>
      <c r="F80" t="s">
        <v>509</v>
      </c>
      <c r="G80" t="s">
        <v>507</v>
      </c>
      <c r="H80" t="s">
        <v>509</v>
      </c>
      <c r="I80" t="s">
        <v>179</v>
      </c>
      <c r="J80" t="s">
        <v>5</v>
      </c>
      <c r="K80" t="s">
        <v>5</v>
      </c>
      <c r="L80" t="s">
        <v>5</v>
      </c>
    </row>
    <row r="81" spans="1:12" x14ac:dyDescent="0.45">
      <c r="A81" t="s">
        <v>510</v>
      </c>
      <c r="B81" t="s">
        <v>511</v>
      </c>
      <c r="C81" t="s">
        <v>512</v>
      </c>
      <c r="D81" t="s">
        <v>502</v>
      </c>
      <c r="E81" t="s">
        <v>513</v>
      </c>
      <c r="F81" t="s">
        <v>397</v>
      </c>
      <c r="G81" t="s">
        <v>514</v>
      </c>
      <c r="H81" t="s">
        <v>397</v>
      </c>
      <c r="I81" t="s">
        <v>515</v>
      </c>
      <c r="J81" t="s">
        <v>5</v>
      </c>
      <c r="K81" t="s">
        <v>5</v>
      </c>
      <c r="L81" t="s">
        <v>5</v>
      </c>
    </row>
    <row r="82" spans="1:12" x14ac:dyDescent="0.45">
      <c r="A82" t="s">
        <v>516</v>
      </c>
      <c r="B82" t="s">
        <v>517</v>
      </c>
      <c r="C82" t="s">
        <v>518</v>
      </c>
      <c r="D82" t="s">
        <v>216</v>
      </c>
      <c r="E82" t="s">
        <v>519</v>
      </c>
      <c r="F82" t="s">
        <v>397</v>
      </c>
      <c r="G82" t="s">
        <v>216</v>
      </c>
      <c r="H82" t="s">
        <v>397</v>
      </c>
      <c r="I82" t="s">
        <v>520</v>
      </c>
      <c r="J82" t="s">
        <v>5</v>
      </c>
      <c r="K82" t="s">
        <v>5</v>
      </c>
      <c r="L82" t="s">
        <v>5</v>
      </c>
    </row>
    <row r="83" spans="1:12" x14ac:dyDescent="0.45">
      <c r="A83" t="s">
        <v>521</v>
      </c>
      <c r="B83" t="s">
        <v>522</v>
      </c>
      <c r="C83" t="s">
        <v>523</v>
      </c>
      <c r="D83" t="s">
        <v>524</v>
      </c>
      <c r="E83" t="s">
        <v>525</v>
      </c>
      <c r="F83" t="s">
        <v>154</v>
      </c>
      <c r="G83" t="s">
        <v>154</v>
      </c>
      <c r="H83" t="s">
        <v>154</v>
      </c>
      <c r="I83" t="s">
        <v>524</v>
      </c>
      <c r="J83" t="s">
        <v>5</v>
      </c>
      <c r="K83" t="s">
        <v>5</v>
      </c>
      <c r="L83" t="s">
        <v>5</v>
      </c>
    </row>
    <row r="84" spans="1:12" x14ac:dyDescent="0.45">
      <c r="A84" t="s">
        <v>526</v>
      </c>
      <c r="B84" t="s">
        <v>527</v>
      </c>
      <c r="C84" t="s">
        <v>528</v>
      </c>
      <c r="D84" t="s">
        <v>529</v>
      </c>
      <c r="E84" t="s">
        <v>530</v>
      </c>
      <c r="F84" t="s">
        <v>531</v>
      </c>
      <c r="G84" t="s">
        <v>532</v>
      </c>
      <c r="H84" t="s">
        <v>531</v>
      </c>
      <c r="I84" t="s">
        <v>533</v>
      </c>
      <c r="J84" t="s">
        <v>5</v>
      </c>
      <c r="K84" t="s">
        <v>5</v>
      </c>
      <c r="L84" t="s">
        <v>5</v>
      </c>
    </row>
    <row r="85" spans="1:12" x14ac:dyDescent="0.45">
      <c r="A85" t="s">
        <v>534</v>
      </c>
      <c r="B85" t="s">
        <v>535</v>
      </c>
      <c r="C85" t="s">
        <v>536</v>
      </c>
      <c r="D85" t="s">
        <v>537</v>
      </c>
      <c r="E85" t="s">
        <v>538</v>
      </c>
      <c r="F85" t="s">
        <v>539</v>
      </c>
      <c r="G85" t="s">
        <v>540</v>
      </c>
      <c r="H85" t="s">
        <v>539</v>
      </c>
      <c r="I85" t="s">
        <v>541</v>
      </c>
      <c r="J85" t="s">
        <v>5</v>
      </c>
      <c r="K85" t="s">
        <v>5</v>
      </c>
      <c r="L85" t="s">
        <v>5</v>
      </c>
    </row>
    <row r="86" spans="1:12" x14ac:dyDescent="0.45">
      <c r="A86" t="s">
        <v>542</v>
      </c>
      <c r="B86" t="s">
        <v>543</v>
      </c>
      <c r="C86" t="s">
        <v>544</v>
      </c>
      <c r="D86" t="s">
        <v>545</v>
      </c>
      <c r="E86" t="s">
        <v>546</v>
      </c>
      <c r="F86" t="s">
        <v>547</v>
      </c>
      <c r="G86" t="s">
        <v>545</v>
      </c>
      <c r="H86" t="s">
        <v>547</v>
      </c>
      <c r="I86" t="s">
        <v>548</v>
      </c>
      <c r="J86" t="s">
        <v>5</v>
      </c>
      <c r="K86" t="s">
        <v>5</v>
      </c>
      <c r="L86" t="s">
        <v>5</v>
      </c>
    </row>
    <row r="87" spans="1:12" x14ac:dyDescent="0.45">
      <c r="A87" t="s">
        <v>549</v>
      </c>
      <c r="B87" t="s">
        <v>550</v>
      </c>
      <c r="C87" t="s">
        <v>551</v>
      </c>
      <c r="D87" t="s">
        <v>347</v>
      </c>
      <c r="E87" t="s">
        <v>552</v>
      </c>
      <c r="F87" t="s">
        <v>17</v>
      </c>
      <c r="G87" t="s">
        <v>17</v>
      </c>
      <c r="H87" t="s">
        <v>17</v>
      </c>
      <c r="I87" t="s">
        <v>347</v>
      </c>
      <c r="J87" t="s">
        <v>5</v>
      </c>
      <c r="K87" t="s">
        <v>5</v>
      </c>
      <c r="L87" t="s">
        <v>5</v>
      </c>
    </row>
    <row r="88" spans="1:12" x14ac:dyDescent="0.45">
      <c r="A88" t="s">
        <v>553</v>
      </c>
      <c r="B88" t="s">
        <v>554</v>
      </c>
      <c r="C88" t="s">
        <v>555</v>
      </c>
      <c r="D88" t="s">
        <v>556</v>
      </c>
      <c r="E88" t="s">
        <v>557</v>
      </c>
      <c r="F88" t="s">
        <v>558</v>
      </c>
      <c r="G88" t="s">
        <v>559</v>
      </c>
      <c r="H88" t="s">
        <v>558</v>
      </c>
      <c r="I88" t="s">
        <v>560</v>
      </c>
      <c r="J88" t="s">
        <v>5</v>
      </c>
      <c r="K88" t="s">
        <v>5</v>
      </c>
      <c r="L88" t="s">
        <v>5</v>
      </c>
    </row>
    <row r="89" spans="1:12" x14ac:dyDescent="0.45">
      <c r="A89" t="s">
        <v>561</v>
      </c>
      <c r="B89" t="s">
        <v>562</v>
      </c>
      <c r="C89" t="s">
        <v>563</v>
      </c>
      <c r="D89" t="s">
        <v>564</v>
      </c>
      <c r="E89" t="s">
        <v>565</v>
      </c>
      <c r="F89" t="s">
        <v>566</v>
      </c>
      <c r="G89" t="s">
        <v>567</v>
      </c>
      <c r="H89" t="s">
        <v>566</v>
      </c>
      <c r="I89" t="s">
        <v>568</v>
      </c>
      <c r="J89" t="s">
        <v>5</v>
      </c>
      <c r="K89" t="s">
        <v>5</v>
      </c>
      <c r="L89" t="s">
        <v>5</v>
      </c>
    </row>
    <row r="90" spans="1:12" x14ac:dyDescent="0.45">
      <c r="A90" t="s">
        <v>569</v>
      </c>
      <c r="B90" t="s">
        <v>570</v>
      </c>
      <c r="C90" t="s">
        <v>368</v>
      </c>
      <c r="D90" t="s">
        <v>571</v>
      </c>
      <c r="E90" t="s">
        <v>572</v>
      </c>
      <c r="F90" t="s">
        <v>573</v>
      </c>
      <c r="G90" t="s">
        <v>571</v>
      </c>
      <c r="H90" t="s">
        <v>573</v>
      </c>
      <c r="I90" t="s">
        <v>574</v>
      </c>
      <c r="J90" t="s">
        <v>5</v>
      </c>
      <c r="K90" t="s">
        <v>5</v>
      </c>
      <c r="L90" t="s">
        <v>5</v>
      </c>
    </row>
    <row r="91" spans="1:12" x14ac:dyDescent="0.45">
      <c r="A91" t="s">
        <v>575</v>
      </c>
      <c r="B91" t="s">
        <v>576</v>
      </c>
      <c r="C91" t="s">
        <v>154</v>
      </c>
      <c r="D91" t="s">
        <v>577</v>
      </c>
      <c r="E91" t="s">
        <v>578</v>
      </c>
      <c r="F91" t="s">
        <v>579</v>
      </c>
      <c r="G91" t="s">
        <v>579</v>
      </c>
      <c r="H91" t="s">
        <v>579</v>
      </c>
      <c r="I91" t="s">
        <v>577</v>
      </c>
      <c r="J91" t="s">
        <v>5</v>
      </c>
      <c r="K91" t="s">
        <v>5</v>
      </c>
      <c r="L91" t="s">
        <v>5</v>
      </c>
    </row>
    <row r="92" spans="1:12" x14ac:dyDescent="0.45">
      <c r="A92" t="s">
        <v>580</v>
      </c>
      <c r="B92" t="s">
        <v>581</v>
      </c>
      <c r="C92" t="s">
        <v>112</v>
      </c>
      <c r="D92" t="s">
        <v>582</v>
      </c>
      <c r="E92" t="s">
        <v>583</v>
      </c>
      <c r="F92" t="s">
        <v>584</v>
      </c>
      <c r="G92" t="s">
        <v>585</v>
      </c>
      <c r="H92" t="s">
        <v>584</v>
      </c>
      <c r="I92" t="s">
        <v>586</v>
      </c>
      <c r="J92" t="s">
        <v>5</v>
      </c>
      <c r="K92" t="s">
        <v>5</v>
      </c>
      <c r="L92" t="s">
        <v>5</v>
      </c>
    </row>
    <row r="93" spans="1:12" x14ac:dyDescent="0.45">
      <c r="A93" t="s">
        <v>587</v>
      </c>
      <c r="B93" t="s">
        <v>588</v>
      </c>
      <c r="C93" t="s">
        <v>589</v>
      </c>
      <c r="D93" t="s">
        <v>590</v>
      </c>
      <c r="E93" t="s">
        <v>591</v>
      </c>
      <c r="F93" t="s">
        <v>592</v>
      </c>
      <c r="G93" t="s">
        <v>593</v>
      </c>
      <c r="H93" t="s">
        <v>592</v>
      </c>
      <c r="I93" t="s">
        <v>594</v>
      </c>
      <c r="J93" t="s">
        <v>5</v>
      </c>
      <c r="K93" t="s">
        <v>5</v>
      </c>
      <c r="L93" t="s">
        <v>5</v>
      </c>
    </row>
    <row r="94" spans="1:12" x14ac:dyDescent="0.45">
      <c r="A94" t="s">
        <v>595</v>
      </c>
      <c r="B94" t="s">
        <v>596</v>
      </c>
      <c r="C94" t="s">
        <v>597</v>
      </c>
      <c r="D94" t="s">
        <v>598</v>
      </c>
      <c r="E94" t="s">
        <v>599</v>
      </c>
      <c r="F94" t="s">
        <v>600</v>
      </c>
      <c r="G94" t="s">
        <v>598</v>
      </c>
      <c r="H94" t="s">
        <v>600</v>
      </c>
      <c r="I94" t="s">
        <v>425</v>
      </c>
      <c r="J94" t="s">
        <v>5</v>
      </c>
      <c r="K94" t="s">
        <v>5</v>
      </c>
      <c r="L94" t="s">
        <v>5</v>
      </c>
    </row>
    <row r="95" spans="1:12" x14ac:dyDescent="0.45">
      <c r="A95" t="s">
        <v>601</v>
      </c>
      <c r="B95" t="s">
        <v>602</v>
      </c>
      <c r="C95" t="s">
        <v>26</v>
      </c>
      <c r="D95" t="s">
        <v>603</v>
      </c>
      <c r="E95" t="s">
        <v>604</v>
      </c>
      <c r="F95" t="s">
        <v>605</v>
      </c>
      <c r="G95" t="s">
        <v>605</v>
      </c>
      <c r="H95" t="s">
        <v>605</v>
      </c>
      <c r="I95" t="s">
        <v>603</v>
      </c>
      <c r="J95" t="s">
        <v>5</v>
      </c>
      <c r="K95" t="s">
        <v>5</v>
      </c>
      <c r="L95" t="s">
        <v>5</v>
      </c>
    </row>
    <row r="96" spans="1:12" x14ac:dyDescent="0.45">
      <c r="A96" t="s">
        <v>606</v>
      </c>
      <c r="B96" t="s">
        <v>607</v>
      </c>
      <c r="C96" t="s">
        <v>608</v>
      </c>
      <c r="D96" t="s">
        <v>609</v>
      </c>
      <c r="E96" t="s">
        <v>610</v>
      </c>
      <c r="F96" t="s">
        <v>611</v>
      </c>
      <c r="G96" t="s">
        <v>356</v>
      </c>
      <c r="H96" t="s">
        <v>611</v>
      </c>
      <c r="I96" t="s">
        <v>612</v>
      </c>
      <c r="J96" t="s">
        <v>5</v>
      </c>
      <c r="K96" t="s">
        <v>5</v>
      </c>
      <c r="L96" t="s">
        <v>5</v>
      </c>
    </row>
    <row r="97" spans="1:12" x14ac:dyDescent="0.45">
      <c r="A97" t="s">
        <v>613</v>
      </c>
      <c r="B97" t="s">
        <v>614</v>
      </c>
      <c r="C97" t="s">
        <v>73</v>
      </c>
      <c r="D97" t="s">
        <v>453</v>
      </c>
      <c r="E97" t="s">
        <v>615</v>
      </c>
      <c r="F97" t="s">
        <v>616</v>
      </c>
      <c r="G97" t="s">
        <v>617</v>
      </c>
      <c r="H97" t="s">
        <v>616</v>
      </c>
      <c r="I97" t="s">
        <v>618</v>
      </c>
      <c r="J97" t="s">
        <v>5</v>
      </c>
      <c r="K97" t="s">
        <v>5</v>
      </c>
      <c r="L97" t="s">
        <v>5</v>
      </c>
    </row>
    <row r="98" spans="1:12" x14ac:dyDescent="0.45">
      <c r="A98" t="s">
        <v>619</v>
      </c>
      <c r="B98" t="s">
        <v>620</v>
      </c>
      <c r="C98" t="s">
        <v>621</v>
      </c>
      <c r="D98" t="s">
        <v>622</v>
      </c>
      <c r="E98" t="s">
        <v>623</v>
      </c>
      <c r="F98" t="s">
        <v>294</v>
      </c>
      <c r="G98" t="s">
        <v>622</v>
      </c>
      <c r="H98" t="s">
        <v>294</v>
      </c>
      <c r="I98" t="s">
        <v>624</v>
      </c>
      <c r="J98" t="s">
        <v>5</v>
      </c>
      <c r="K98" t="s">
        <v>5</v>
      </c>
      <c r="L98" t="s">
        <v>5</v>
      </c>
    </row>
    <row r="99" spans="1:12" x14ac:dyDescent="0.45">
      <c r="A99" t="s">
        <v>625</v>
      </c>
      <c r="B99" t="s">
        <v>626</v>
      </c>
      <c r="C99" t="s">
        <v>454</v>
      </c>
      <c r="D99" t="s">
        <v>589</v>
      </c>
      <c r="E99" t="s">
        <v>627</v>
      </c>
      <c r="F99" t="s">
        <v>628</v>
      </c>
      <c r="G99" t="s">
        <v>628</v>
      </c>
      <c r="H99" t="s">
        <v>628</v>
      </c>
      <c r="I99" t="s">
        <v>589</v>
      </c>
      <c r="J99" t="s">
        <v>5</v>
      </c>
      <c r="K99" t="s">
        <v>5</v>
      </c>
      <c r="L99" t="s">
        <v>5</v>
      </c>
    </row>
    <row r="100" spans="1:12" x14ac:dyDescent="0.45">
      <c r="A100" t="s">
        <v>629</v>
      </c>
      <c r="B100" t="s">
        <v>630</v>
      </c>
      <c r="C100" t="s">
        <v>624</v>
      </c>
      <c r="D100" t="s">
        <v>356</v>
      </c>
      <c r="E100" t="s">
        <v>631</v>
      </c>
      <c r="F100" t="s">
        <v>425</v>
      </c>
      <c r="G100" t="s">
        <v>632</v>
      </c>
      <c r="H100" t="s">
        <v>425</v>
      </c>
      <c r="I100" t="s">
        <v>633</v>
      </c>
      <c r="J100" t="s">
        <v>5</v>
      </c>
      <c r="K100" t="s">
        <v>5</v>
      </c>
      <c r="L100" t="s">
        <v>5</v>
      </c>
    </row>
    <row r="101" spans="1:12" x14ac:dyDescent="0.45">
      <c r="A101" t="s">
        <v>634</v>
      </c>
      <c r="B101" t="s">
        <v>635</v>
      </c>
      <c r="C101" t="s">
        <v>636</v>
      </c>
      <c r="D101" t="s">
        <v>228</v>
      </c>
      <c r="E101" t="s">
        <v>637</v>
      </c>
      <c r="F101" t="s">
        <v>434</v>
      </c>
      <c r="G101" t="s">
        <v>638</v>
      </c>
      <c r="H101" t="s">
        <v>434</v>
      </c>
      <c r="I101" t="s">
        <v>432</v>
      </c>
      <c r="J101" t="s">
        <v>5</v>
      </c>
      <c r="K101" t="s">
        <v>5</v>
      </c>
      <c r="L101" t="s">
        <v>5</v>
      </c>
    </row>
    <row r="102" spans="1:12" x14ac:dyDescent="0.45">
      <c r="A102" t="s">
        <v>639</v>
      </c>
    </row>
    <row r="103" spans="1:12" x14ac:dyDescent="0.45">
      <c r="A103" t="s">
        <v>639</v>
      </c>
    </row>
    <row r="104" spans="1:12" x14ac:dyDescent="0.45">
      <c r="A104" t="s">
        <v>640</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F6604-D6DC-44C0-A5EB-FF9AD16A5A12}">
  <dimension ref="A1:G103"/>
  <sheetViews>
    <sheetView tabSelected="1" workbookViewId="0">
      <selection activeCell="D4" sqref="D4"/>
    </sheetView>
  </sheetViews>
  <sheetFormatPr defaultRowHeight="14.25" x14ac:dyDescent="0.45"/>
  <cols>
    <col min="1" max="1" width="13.73046875" customWidth="1"/>
    <col min="2" max="2" width="14.06640625" customWidth="1"/>
    <col min="5" max="5" width="12.3984375" customWidth="1"/>
    <col min="6" max="6" width="11.265625" customWidth="1"/>
  </cols>
  <sheetData>
    <row r="1" spans="1:5" x14ac:dyDescent="0.45">
      <c r="A1" t="s">
        <v>0</v>
      </c>
      <c r="B1" t="s">
        <v>662</v>
      </c>
      <c r="C1" t="s">
        <v>663</v>
      </c>
      <c r="D1" t="s">
        <v>669</v>
      </c>
    </row>
    <row r="2" spans="1:5" x14ac:dyDescent="0.45">
      <c r="A2" t="s">
        <v>1</v>
      </c>
      <c r="B2" t="s">
        <v>2</v>
      </c>
      <c r="C2" t="s">
        <v>2</v>
      </c>
      <c r="D2" t="s">
        <v>3</v>
      </c>
    </row>
    <row r="3" spans="1:5" x14ac:dyDescent="0.45">
      <c r="A3" t="s">
        <v>4</v>
      </c>
      <c r="B3" t="s">
        <v>5</v>
      </c>
      <c r="C3" t="s">
        <v>5</v>
      </c>
      <c r="D3" t="s">
        <v>5</v>
      </c>
      <c r="E3" s="4"/>
    </row>
    <row r="4" spans="1:5" x14ac:dyDescent="0.45">
      <c r="A4" t="s">
        <v>7</v>
      </c>
      <c r="B4" t="s">
        <v>5</v>
      </c>
      <c r="C4" t="s">
        <v>5</v>
      </c>
      <c r="D4" t="s">
        <v>5</v>
      </c>
    </row>
    <row r="5" spans="1:5" x14ac:dyDescent="0.45">
      <c r="A5" t="s">
        <v>9</v>
      </c>
      <c r="B5" t="s">
        <v>5</v>
      </c>
      <c r="C5" t="s">
        <v>5</v>
      </c>
      <c r="D5" t="s">
        <v>5</v>
      </c>
    </row>
    <row r="6" spans="1:5" x14ac:dyDescent="0.45">
      <c r="A6" t="s">
        <v>11</v>
      </c>
      <c r="B6" t="s">
        <v>5</v>
      </c>
      <c r="C6" t="s">
        <v>5</v>
      </c>
      <c r="D6" t="s">
        <v>5</v>
      </c>
    </row>
    <row r="7" spans="1:5" x14ac:dyDescent="0.45">
      <c r="A7" t="s">
        <v>13</v>
      </c>
      <c r="B7" t="s">
        <v>5</v>
      </c>
      <c r="C7" t="s">
        <v>5</v>
      </c>
      <c r="D7" t="s">
        <v>5</v>
      </c>
    </row>
    <row r="8" spans="1:5" x14ac:dyDescent="0.45">
      <c r="A8" t="s">
        <v>16</v>
      </c>
      <c r="B8" t="s">
        <v>5</v>
      </c>
      <c r="C8" t="s">
        <v>5</v>
      </c>
      <c r="D8" t="s">
        <v>5</v>
      </c>
    </row>
    <row r="9" spans="1:5" x14ac:dyDescent="0.45">
      <c r="A9" t="s">
        <v>19</v>
      </c>
      <c r="B9" t="s">
        <v>5</v>
      </c>
      <c r="C9" t="s">
        <v>5</v>
      </c>
      <c r="D9" t="s">
        <v>5</v>
      </c>
    </row>
    <row r="10" spans="1:5" x14ac:dyDescent="0.45">
      <c r="A10" t="s">
        <v>22</v>
      </c>
      <c r="B10" t="s">
        <v>5</v>
      </c>
      <c r="C10" t="s">
        <v>5</v>
      </c>
      <c r="D10" t="s">
        <v>5</v>
      </c>
    </row>
    <row r="11" spans="1:5" x14ac:dyDescent="0.45">
      <c r="A11" t="s">
        <v>25</v>
      </c>
      <c r="B11" t="s">
        <v>5</v>
      </c>
      <c r="C11" t="s">
        <v>5</v>
      </c>
      <c r="D11" t="s">
        <v>5</v>
      </c>
    </row>
    <row r="12" spans="1:5" x14ac:dyDescent="0.45">
      <c r="A12" t="s">
        <v>28</v>
      </c>
      <c r="B12" t="s">
        <v>5</v>
      </c>
      <c r="C12" t="s">
        <v>5</v>
      </c>
      <c r="D12" t="s">
        <v>5</v>
      </c>
    </row>
    <row r="13" spans="1:5" x14ac:dyDescent="0.45">
      <c r="A13" t="s">
        <v>31</v>
      </c>
      <c r="B13" t="s">
        <v>5</v>
      </c>
      <c r="C13" t="s">
        <v>5</v>
      </c>
      <c r="D13" t="s">
        <v>5</v>
      </c>
    </row>
    <row r="14" spans="1:5" x14ac:dyDescent="0.45">
      <c r="A14" t="s">
        <v>34</v>
      </c>
      <c r="B14" t="s">
        <v>5</v>
      </c>
      <c r="C14" t="s">
        <v>5</v>
      </c>
      <c r="D14" t="s">
        <v>5</v>
      </c>
    </row>
    <row r="15" spans="1:5" x14ac:dyDescent="0.45">
      <c r="A15" t="s">
        <v>36</v>
      </c>
      <c r="B15" t="s">
        <v>5</v>
      </c>
      <c r="C15" t="s">
        <v>5</v>
      </c>
      <c r="D15" t="s">
        <v>5</v>
      </c>
    </row>
    <row r="16" spans="1:5" x14ac:dyDescent="0.45">
      <c r="A16" t="s">
        <v>39</v>
      </c>
      <c r="B16" t="s">
        <v>5</v>
      </c>
      <c r="C16" t="s">
        <v>5</v>
      </c>
      <c r="D16" t="s">
        <v>5</v>
      </c>
    </row>
    <row r="17" spans="1:7" x14ac:dyDescent="0.45">
      <c r="A17" t="s">
        <v>42</v>
      </c>
      <c r="B17" t="s">
        <v>5</v>
      </c>
      <c r="C17" t="s">
        <v>5</v>
      </c>
      <c r="D17" t="s">
        <v>5</v>
      </c>
    </row>
    <row r="18" spans="1:7" x14ac:dyDescent="0.45">
      <c r="A18" t="s">
        <v>45</v>
      </c>
      <c r="B18" t="s">
        <v>5</v>
      </c>
      <c r="C18" t="s">
        <v>5</v>
      </c>
      <c r="D18" t="s">
        <v>5</v>
      </c>
    </row>
    <row r="19" spans="1:7" x14ac:dyDescent="0.45">
      <c r="A19" t="s">
        <v>48</v>
      </c>
      <c r="B19" t="s">
        <v>5</v>
      </c>
      <c r="C19" t="s">
        <v>5</v>
      </c>
      <c r="D19" t="s">
        <v>5</v>
      </c>
    </row>
    <row r="20" spans="1:7" x14ac:dyDescent="0.45">
      <c r="A20" t="s">
        <v>51</v>
      </c>
      <c r="B20" t="s">
        <v>5</v>
      </c>
      <c r="C20" t="s">
        <v>5</v>
      </c>
      <c r="D20" t="s">
        <v>5</v>
      </c>
    </row>
    <row r="21" spans="1:7" x14ac:dyDescent="0.45">
      <c r="A21" t="s">
        <v>54</v>
      </c>
      <c r="B21" t="s">
        <v>5</v>
      </c>
      <c r="C21" t="s">
        <v>5</v>
      </c>
      <c r="D21" t="s">
        <v>5</v>
      </c>
    </row>
    <row r="22" spans="1:7" x14ac:dyDescent="0.45">
      <c r="A22" t="s">
        <v>57</v>
      </c>
      <c r="B22" t="s">
        <v>5</v>
      </c>
      <c r="C22" t="s">
        <v>5</v>
      </c>
      <c r="D22" t="s">
        <v>5</v>
      </c>
    </row>
    <row r="23" spans="1:7" x14ac:dyDescent="0.45">
      <c r="A23" t="s">
        <v>60</v>
      </c>
      <c r="B23" s="5" t="s">
        <v>61</v>
      </c>
      <c r="C23" s="3" t="s">
        <v>5</v>
      </c>
      <c r="D23" s="3" t="s">
        <v>5</v>
      </c>
      <c r="E23" s="6" t="str">
        <f>SUBSTITUTE(SUBSTITUTE(B23, ".", ""), ",",".")</f>
        <v>126308.92</v>
      </c>
      <c r="F23" s="3">
        <f>VALUE(E23)</f>
        <v>126308.92</v>
      </c>
    </row>
    <row r="24" spans="1:7" x14ac:dyDescent="0.45">
      <c r="A24" t="s">
        <v>65</v>
      </c>
      <c r="B24" s="5" t="s">
        <v>66</v>
      </c>
      <c r="C24" s="3" t="s">
        <v>67</v>
      </c>
      <c r="D24" s="3" t="s">
        <v>5</v>
      </c>
      <c r="E24" s="6" t="str">
        <f t="shared" ref="E24:E87" si="0">SUBSTITUTE(SUBSTITUTE(B24, ".", ""), ",",".")</f>
        <v>128617.72</v>
      </c>
      <c r="F24" s="3">
        <f t="shared" ref="F24:F87" si="1">VALUE(E24)</f>
        <v>128617.72</v>
      </c>
      <c r="G24">
        <f>(F24-F23)/F23*100</f>
        <v>1.8278994072627675</v>
      </c>
    </row>
    <row r="25" spans="1:7" x14ac:dyDescent="0.45">
      <c r="A25" t="s">
        <v>71</v>
      </c>
      <c r="B25" s="5" t="s">
        <v>72</v>
      </c>
      <c r="C25" s="3" t="s">
        <v>73</v>
      </c>
      <c r="D25" s="3" t="s">
        <v>5</v>
      </c>
      <c r="E25" s="6" t="str">
        <f t="shared" si="0"/>
        <v>128681.19</v>
      </c>
      <c r="F25" s="3">
        <f t="shared" si="1"/>
        <v>128681.19</v>
      </c>
      <c r="G25">
        <f t="shared" ref="G25:G88" si="2">(F25-F24)/F24*100</f>
        <v>4.9347788158584337E-2</v>
      </c>
    </row>
    <row r="26" spans="1:7" x14ac:dyDescent="0.45">
      <c r="A26" t="s">
        <v>77</v>
      </c>
      <c r="B26" s="5" t="s">
        <v>78</v>
      </c>
      <c r="C26" s="3" t="s">
        <v>79</v>
      </c>
      <c r="D26" s="3" t="s">
        <v>5</v>
      </c>
      <c r="E26" s="6" t="str">
        <f t="shared" si="0"/>
        <v>131245.17</v>
      </c>
      <c r="F26" s="3">
        <f t="shared" si="1"/>
        <v>131245.17000000001</v>
      </c>
      <c r="G26">
        <f t="shared" si="2"/>
        <v>1.9925056645808223</v>
      </c>
    </row>
    <row r="27" spans="1:7" x14ac:dyDescent="0.45">
      <c r="A27" t="s">
        <v>83</v>
      </c>
      <c r="B27" s="5" t="s">
        <v>84</v>
      </c>
      <c r="C27" s="3" t="s">
        <v>85</v>
      </c>
      <c r="D27" s="3" t="s">
        <v>86</v>
      </c>
      <c r="E27" s="6" t="str">
        <f t="shared" si="0"/>
        <v>134086.08</v>
      </c>
      <c r="F27" s="3">
        <f t="shared" si="1"/>
        <v>134086.07999999999</v>
      </c>
      <c r="G27">
        <f t="shared" si="2"/>
        <v>2.1645825137793442</v>
      </c>
    </row>
    <row r="28" spans="1:7" x14ac:dyDescent="0.45">
      <c r="A28" t="s">
        <v>90</v>
      </c>
      <c r="B28" s="5" t="s">
        <v>91</v>
      </c>
      <c r="C28" s="3" t="s">
        <v>92</v>
      </c>
      <c r="D28" s="3" t="s">
        <v>97</v>
      </c>
      <c r="E28" s="6" t="str">
        <f t="shared" si="0"/>
        <v>135785.70</v>
      </c>
      <c r="F28" s="3">
        <f t="shared" si="1"/>
        <v>135785.70000000001</v>
      </c>
      <c r="G28">
        <f t="shared" si="2"/>
        <v>1.2675588696455475</v>
      </c>
    </row>
    <row r="29" spans="1:7" x14ac:dyDescent="0.45">
      <c r="A29" t="s">
        <v>100</v>
      </c>
      <c r="B29" s="5" t="s">
        <v>101</v>
      </c>
      <c r="C29" s="3" t="s">
        <v>102</v>
      </c>
      <c r="D29" s="3" t="s">
        <v>107</v>
      </c>
      <c r="E29" s="6" t="str">
        <f t="shared" si="0"/>
        <v>138547.99</v>
      </c>
      <c r="F29" s="3">
        <f t="shared" si="1"/>
        <v>138547.99</v>
      </c>
      <c r="G29">
        <f t="shared" si="2"/>
        <v>2.0343011082904745</v>
      </c>
    </row>
    <row r="30" spans="1:7" x14ac:dyDescent="0.45">
      <c r="A30" t="s">
        <v>110</v>
      </c>
      <c r="B30" s="5" t="s">
        <v>111</v>
      </c>
      <c r="C30" s="3" t="s">
        <v>112</v>
      </c>
      <c r="D30" s="3" t="s">
        <v>116</v>
      </c>
      <c r="E30" s="6" t="str">
        <f t="shared" si="0"/>
        <v>141015.22</v>
      </c>
      <c r="F30" s="3">
        <f t="shared" si="1"/>
        <v>141015.22</v>
      </c>
      <c r="G30">
        <f t="shared" si="2"/>
        <v>1.780776465974</v>
      </c>
    </row>
    <row r="31" spans="1:7" x14ac:dyDescent="0.45">
      <c r="A31" t="s">
        <v>119</v>
      </c>
      <c r="B31" s="5" t="s">
        <v>120</v>
      </c>
      <c r="C31" s="3" t="s">
        <v>121</v>
      </c>
      <c r="D31" s="3" t="s">
        <v>122</v>
      </c>
      <c r="E31" s="6" t="str">
        <f t="shared" si="0"/>
        <v>143182.74</v>
      </c>
      <c r="F31" s="3">
        <f t="shared" si="1"/>
        <v>143182.74</v>
      </c>
      <c r="G31">
        <f t="shared" si="2"/>
        <v>1.5370823092712897</v>
      </c>
    </row>
    <row r="32" spans="1:7" x14ac:dyDescent="0.45">
      <c r="A32" t="s">
        <v>127</v>
      </c>
      <c r="B32" s="5" t="s">
        <v>128</v>
      </c>
      <c r="C32" s="3" t="s">
        <v>129</v>
      </c>
      <c r="D32" s="3" t="s">
        <v>133</v>
      </c>
      <c r="E32" s="6" t="str">
        <f t="shared" si="0"/>
        <v>144978.35</v>
      </c>
      <c r="F32" s="3">
        <f t="shared" si="1"/>
        <v>144978.35</v>
      </c>
      <c r="G32">
        <f t="shared" si="2"/>
        <v>1.2540687515827782</v>
      </c>
    </row>
    <row r="33" spans="1:7" x14ac:dyDescent="0.45">
      <c r="A33" t="s">
        <v>136</v>
      </c>
      <c r="B33" s="5" t="s">
        <v>137</v>
      </c>
      <c r="C33" s="3" t="s">
        <v>138</v>
      </c>
      <c r="D33" s="3" t="s">
        <v>142</v>
      </c>
      <c r="E33" s="6" t="str">
        <f t="shared" si="0"/>
        <v>148063.32</v>
      </c>
      <c r="F33" s="3">
        <f t="shared" si="1"/>
        <v>148063.32</v>
      </c>
      <c r="G33">
        <f t="shared" si="2"/>
        <v>2.1278832322205359</v>
      </c>
    </row>
    <row r="34" spans="1:7" x14ac:dyDescent="0.45">
      <c r="A34" t="s">
        <v>144</v>
      </c>
      <c r="B34" s="5" t="s">
        <v>145</v>
      </c>
      <c r="C34" s="3" t="s">
        <v>146</v>
      </c>
      <c r="D34" s="3" t="s">
        <v>149</v>
      </c>
      <c r="E34" s="6" t="str">
        <f t="shared" si="0"/>
        <v>150232.59</v>
      </c>
      <c r="F34" s="3">
        <f t="shared" si="1"/>
        <v>150232.59</v>
      </c>
      <c r="G34">
        <f t="shared" si="2"/>
        <v>1.4650961494041803</v>
      </c>
    </row>
    <row r="35" spans="1:7" x14ac:dyDescent="0.45">
      <c r="A35" t="s">
        <v>152</v>
      </c>
      <c r="B35" s="5" t="s">
        <v>153</v>
      </c>
      <c r="C35" s="3" t="s">
        <v>154</v>
      </c>
      <c r="D35" s="3" t="s">
        <v>155</v>
      </c>
      <c r="E35" s="6" t="str">
        <f t="shared" si="0"/>
        <v>150937.32</v>
      </c>
      <c r="F35" s="3">
        <f t="shared" si="1"/>
        <v>150937.32</v>
      </c>
      <c r="G35">
        <f t="shared" si="2"/>
        <v>0.46909262497571963</v>
      </c>
    </row>
    <row r="36" spans="1:7" x14ac:dyDescent="0.45">
      <c r="A36" t="s">
        <v>160</v>
      </c>
      <c r="B36" s="5" t="s">
        <v>161</v>
      </c>
      <c r="C36" s="3" t="s">
        <v>162</v>
      </c>
      <c r="D36" s="3" t="s">
        <v>166</v>
      </c>
      <c r="E36" s="6" t="str">
        <f t="shared" si="0"/>
        <v>151172.89</v>
      </c>
      <c r="F36" s="3">
        <f t="shared" si="1"/>
        <v>151172.89000000001</v>
      </c>
      <c r="G36">
        <f t="shared" si="2"/>
        <v>0.15607140765451977</v>
      </c>
    </row>
    <row r="37" spans="1:7" x14ac:dyDescent="0.45">
      <c r="A37" t="s">
        <v>168</v>
      </c>
      <c r="B37" s="5" t="s">
        <v>169</v>
      </c>
      <c r="C37" s="3" t="s">
        <v>170</v>
      </c>
      <c r="D37" s="3" t="s">
        <v>173</v>
      </c>
      <c r="E37" s="6" t="str">
        <f t="shared" si="0"/>
        <v>152911.26</v>
      </c>
      <c r="F37" s="3">
        <f t="shared" si="1"/>
        <v>152911.26</v>
      </c>
      <c r="G37">
        <f t="shared" si="2"/>
        <v>1.1499217882253856</v>
      </c>
    </row>
    <row r="38" spans="1:7" x14ac:dyDescent="0.45">
      <c r="A38" t="s">
        <v>176</v>
      </c>
      <c r="B38" s="5" t="s">
        <v>177</v>
      </c>
      <c r="C38" s="3" t="s">
        <v>178</v>
      </c>
      <c r="D38" s="3" t="s">
        <v>182</v>
      </c>
      <c r="E38" s="6" t="str">
        <f t="shared" si="0"/>
        <v>150691.52</v>
      </c>
      <c r="F38" s="3">
        <f t="shared" si="1"/>
        <v>150691.51999999999</v>
      </c>
      <c r="G38">
        <f t="shared" si="2"/>
        <v>-1.451652415917585</v>
      </c>
    </row>
    <row r="39" spans="1:7" x14ac:dyDescent="0.45">
      <c r="A39" t="s">
        <v>185</v>
      </c>
      <c r="B39" s="5" t="s">
        <v>186</v>
      </c>
      <c r="C39" s="3" t="s">
        <v>187</v>
      </c>
      <c r="D39" s="3" t="s">
        <v>188</v>
      </c>
      <c r="E39" s="6" t="str">
        <f t="shared" si="0"/>
        <v>150782.42</v>
      </c>
      <c r="F39" s="3">
        <f t="shared" si="1"/>
        <v>150782.42000000001</v>
      </c>
      <c r="G39">
        <f t="shared" si="2"/>
        <v>6.0321907961392453E-2</v>
      </c>
    </row>
    <row r="40" spans="1:7" x14ac:dyDescent="0.45">
      <c r="A40" t="s">
        <v>192</v>
      </c>
      <c r="B40" s="5" t="s">
        <v>193</v>
      </c>
      <c r="C40" s="3" t="s">
        <v>194</v>
      </c>
      <c r="D40" s="3" t="s">
        <v>199</v>
      </c>
      <c r="E40" s="6" t="str">
        <f t="shared" si="0"/>
        <v>152387.71</v>
      </c>
      <c r="F40" s="3">
        <f t="shared" si="1"/>
        <v>152387.71</v>
      </c>
      <c r="G40">
        <f t="shared" si="2"/>
        <v>1.064640028990103</v>
      </c>
    </row>
    <row r="41" spans="1:7" x14ac:dyDescent="0.45">
      <c r="A41" t="s">
        <v>202</v>
      </c>
      <c r="B41" s="5" t="s">
        <v>203</v>
      </c>
      <c r="C41" s="3" t="s">
        <v>204</v>
      </c>
      <c r="D41" s="3" t="s">
        <v>208</v>
      </c>
      <c r="E41" s="6" t="str">
        <f t="shared" si="0"/>
        <v>153941.62</v>
      </c>
      <c r="F41" s="3">
        <f t="shared" si="1"/>
        <v>153941.62</v>
      </c>
      <c r="G41">
        <f t="shared" si="2"/>
        <v>1.0197082166271831</v>
      </c>
    </row>
    <row r="42" spans="1:7" x14ac:dyDescent="0.45">
      <c r="A42" t="s">
        <v>211</v>
      </c>
      <c r="B42" s="5" t="s">
        <v>212</v>
      </c>
      <c r="C42" s="3" t="s">
        <v>204</v>
      </c>
      <c r="D42" s="3" t="s">
        <v>216</v>
      </c>
      <c r="E42" s="6" t="str">
        <f t="shared" si="0"/>
        <v>155504.26</v>
      </c>
      <c r="F42" s="3">
        <f t="shared" si="1"/>
        <v>155504.26</v>
      </c>
      <c r="G42">
        <f t="shared" si="2"/>
        <v>1.0150861086170291</v>
      </c>
    </row>
    <row r="43" spans="1:7" x14ac:dyDescent="0.45">
      <c r="A43" t="s">
        <v>219</v>
      </c>
      <c r="B43" s="5" t="s">
        <v>220</v>
      </c>
      <c r="C43" s="3" t="s">
        <v>221</v>
      </c>
      <c r="D43" s="3" t="s">
        <v>222</v>
      </c>
      <c r="E43" s="6" t="str">
        <f t="shared" si="0"/>
        <v>156633.98</v>
      </c>
      <c r="F43" s="3">
        <f t="shared" si="1"/>
        <v>156633.98000000001</v>
      </c>
      <c r="G43">
        <f t="shared" si="2"/>
        <v>0.72648813608064566</v>
      </c>
    </row>
    <row r="44" spans="1:7" x14ac:dyDescent="0.45">
      <c r="A44" t="s">
        <v>226</v>
      </c>
      <c r="B44" s="5" t="s">
        <v>227</v>
      </c>
      <c r="C44" s="3" t="s">
        <v>228</v>
      </c>
      <c r="D44" s="3" t="s">
        <v>233</v>
      </c>
      <c r="E44" s="6" t="str">
        <f t="shared" si="0"/>
        <v>159160.56</v>
      </c>
      <c r="F44" s="3">
        <f t="shared" si="1"/>
        <v>159160.56</v>
      </c>
      <c r="G44">
        <f t="shared" si="2"/>
        <v>1.6130471817162453</v>
      </c>
    </row>
    <row r="45" spans="1:7" x14ac:dyDescent="0.45">
      <c r="A45" t="s">
        <v>236</v>
      </c>
      <c r="B45" s="5" t="s">
        <v>237</v>
      </c>
      <c r="C45" s="3" t="s">
        <v>238</v>
      </c>
      <c r="D45" s="3" t="s">
        <v>229</v>
      </c>
      <c r="E45" s="6" t="str">
        <f t="shared" si="0"/>
        <v>160349.83</v>
      </c>
      <c r="F45" s="3">
        <f t="shared" si="1"/>
        <v>160349.82999999999</v>
      </c>
      <c r="G45">
        <f t="shared" si="2"/>
        <v>0.74721400829451057</v>
      </c>
    </row>
    <row r="46" spans="1:7" x14ac:dyDescent="0.45">
      <c r="A46" t="s">
        <v>243</v>
      </c>
      <c r="B46" s="5" t="s">
        <v>244</v>
      </c>
      <c r="C46" s="3" t="s">
        <v>245</v>
      </c>
      <c r="D46" s="3" t="s">
        <v>249</v>
      </c>
      <c r="E46" s="6" t="str">
        <f t="shared" si="0"/>
        <v>164006.63</v>
      </c>
      <c r="F46" s="3">
        <f t="shared" si="1"/>
        <v>164006.63</v>
      </c>
      <c r="G46">
        <f t="shared" si="2"/>
        <v>2.280513799110369</v>
      </c>
    </row>
    <row r="47" spans="1:7" x14ac:dyDescent="0.45">
      <c r="A47" t="s">
        <v>252</v>
      </c>
      <c r="B47" s="5" t="s">
        <v>253</v>
      </c>
      <c r="C47" s="3" t="s">
        <v>254</v>
      </c>
      <c r="D47" s="3" t="s">
        <v>113</v>
      </c>
      <c r="E47" s="6" t="str">
        <f t="shared" si="0"/>
        <v>167166.52</v>
      </c>
      <c r="F47" s="3">
        <f t="shared" si="1"/>
        <v>167166.51999999999</v>
      </c>
      <c r="G47">
        <f t="shared" si="2"/>
        <v>1.9266843053844744</v>
      </c>
    </row>
    <row r="48" spans="1:7" x14ac:dyDescent="0.45">
      <c r="A48" t="s">
        <v>259</v>
      </c>
      <c r="B48" s="5" t="s">
        <v>260</v>
      </c>
      <c r="C48" s="3" t="s">
        <v>261</v>
      </c>
      <c r="D48" s="3" t="s">
        <v>264</v>
      </c>
      <c r="E48" s="6" t="str">
        <f t="shared" si="0"/>
        <v>169759.65</v>
      </c>
      <c r="F48" s="3">
        <f t="shared" si="1"/>
        <v>169759.65</v>
      </c>
      <c r="G48">
        <f t="shared" si="2"/>
        <v>1.5512256880145645</v>
      </c>
    </row>
    <row r="49" spans="1:7" x14ac:dyDescent="0.45">
      <c r="A49" t="s">
        <v>267</v>
      </c>
      <c r="B49" s="5" t="s">
        <v>268</v>
      </c>
      <c r="C49" s="3" t="s">
        <v>269</v>
      </c>
      <c r="D49" s="3" t="s">
        <v>274</v>
      </c>
      <c r="E49" s="6" t="str">
        <f t="shared" si="0"/>
        <v>173217.01</v>
      </c>
      <c r="F49" s="3">
        <f t="shared" si="1"/>
        <v>173217.01</v>
      </c>
      <c r="G49">
        <f t="shared" si="2"/>
        <v>2.0366205985933732</v>
      </c>
    </row>
    <row r="50" spans="1:7" x14ac:dyDescent="0.45">
      <c r="A50" t="s">
        <v>277</v>
      </c>
      <c r="B50" s="5" t="s">
        <v>278</v>
      </c>
      <c r="C50" s="3" t="s">
        <v>221</v>
      </c>
      <c r="D50" s="3" t="s">
        <v>282</v>
      </c>
      <c r="E50" s="6" t="str">
        <f t="shared" si="0"/>
        <v>174484.82</v>
      </c>
      <c r="F50" s="3">
        <f t="shared" si="1"/>
        <v>174484.82</v>
      </c>
      <c r="G50">
        <f t="shared" si="2"/>
        <v>0.73192003487417179</v>
      </c>
    </row>
    <row r="51" spans="1:7" x14ac:dyDescent="0.45">
      <c r="A51" t="s">
        <v>285</v>
      </c>
      <c r="B51" s="5" t="s">
        <v>286</v>
      </c>
      <c r="C51" s="3" t="s">
        <v>287</v>
      </c>
      <c r="D51" s="3" t="s">
        <v>69</v>
      </c>
      <c r="E51" s="6" t="str">
        <f t="shared" si="0"/>
        <v>177206.11</v>
      </c>
      <c r="F51" s="3">
        <f t="shared" si="1"/>
        <v>177206.11</v>
      </c>
      <c r="G51">
        <f t="shared" si="2"/>
        <v>1.5596141830561414</v>
      </c>
    </row>
    <row r="52" spans="1:7" x14ac:dyDescent="0.45">
      <c r="A52" t="s">
        <v>292</v>
      </c>
      <c r="B52" s="5" t="s">
        <v>293</v>
      </c>
      <c r="C52" s="3" t="s">
        <v>294</v>
      </c>
      <c r="D52" s="3" t="s">
        <v>299</v>
      </c>
      <c r="E52" s="6" t="str">
        <f t="shared" si="0"/>
        <v>177865.06</v>
      </c>
      <c r="F52" s="3">
        <f t="shared" si="1"/>
        <v>177865.06</v>
      </c>
      <c r="G52">
        <f t="shared" si="2"/>
        <v>0.37185512395707554</v>
      </c>
    </row>
    <row r="53" spans="1:7" x14ac:dyDescent="0.45">
      <c r="A53" t="s">
        <v>301</v>
      </c>
      <c r="B53" s="5" t="s">
        <v>302</v>
      </c>
      <c r="C53" s="3" t="s">
        <v>303</v>
      </c>
      <c r="D53" s="3" t="s">
        <v>307</v>
      </c>
      <c r="E53" s="6" t="str">
        <f t="shared" si="0"/>
        <v>177039.99</v>
      </c>
      <c r="F53" s="3">
        <f t="shared" si="1"/>
        <v>177039.99</v>
      </c>
      <c r="G53">
        <f t="shared" si="2"/>
        <v>-0.46387413019735696</v>
      </c>
    </row>
    <row r="54" spans="1:7" x14ac:dyDescent="0.45">
      <c r="A54" t="s">
        <v>310</v>
      </c>
      <c r="B54" s="5" t="s">
        <v>311</v>
      </c>
      <c r="C54" s="3" t="s">
        <v>312</v>
      </c>
      <c r="D54" s="3" t="s">
        <v>316</v>
      </c>
      <c r="E54" s="6" t="str">
        <f t="shared" si="0"/>
        <v>179303.84</v>
      </c>
      <c r="F54" s="3">
        <f t="shared" si="1"/>
        <v>179303.84</v>
      </c>
      <c r="G54">
        <f t="shared" si="2"/>
        <v>1.2787223948668354</v>
      </c>
    </row>
    <row r="55" spans="1:7" x14ac:dyDescent="0.45">
      <c r="A55" t="s">
        <v>319</v>
      </c>
      <c r="B55" s="5" t="s">
        <v>320</v>
      </c>
      <c r="C55" s="3" t="s">
        <v>321</v>
      </c>
      <c r="D55" s="3" t="s">
        <v>322</v>
      </c>
      <c r="E55" s="6" t="str">
        <f t="shared" si="0"/>
        <v>181877.11</v>
      </c>
      <c r="F55" s="3">
        <f t="shared" si="1"/>
        <v>181877.11</v>
      </c>
      <c r="G55">
        <f t="shared" si="2"/>
        <v>1.4351449472582347</v>
      </c>
    </row>
    <row r="56" spans="1:7" x14ac:dyDescent="0.45">
      <c r="A56" t="s">
        <v>327</v>
      </c>
      <c r="B56" s="5" t="s">
        <v>328</v>
      </c>
      <c r="C56" s="3" t="s">
        <v>317</v>
      </c>
      <c r="D56" s="3" t="s">
        <v>333</v>
      </c>
      <c r="E56" s="6" t="str">
        <f t="shared" si="0"/>
        <v>187148.22</v>
      </c>
      <c r="F56" s="3">
        <f t="shared" si="1"/>
        <v>187148.22</v>
      </c>
      <c r="G56">
        <f t="shared" si="2"/>
        <v>2.8981711882270482</v>
      </c>
    </row>
    <row r="57" spans="1:7" x14ac:dyDescent="0.45">
      <c r="A57" t="s">
        <v>336</v>
      </c>
      <c r="B57" s="5" t="s">
        <v>337</v>
      </c>
      <c r="C57" s="3" t="s">
        <v>338</v>
      </c>
      <c r="D57" s="3" t="s">
        <v>342</v>
      </c>
      <c r="E57" s="6" t="str">
        <f t="shared" si="0"/>
        <v>188107.17</v>
      </c>
      <c r="F57" s="3">
        <f t="shared" si="1"/>
        <v>188107.17</v>
      </c>
      <c r="G57">
        <f t="shared" si="2"/>
        <v>0.51240134691102679</v>
      </c>
    </row>
    <row r="58" spans="1:7" x14ac:dyDescent="0.45">
      <c r="A58" t="s">
        <v>345</v>
      </c>
      <c r="B58" s="5" t="s">
        <v>346</v>
      </c>
      <c r="C58" s="3" t="s">
        <v>347</v>
      </c>
      <c r="D58" s="3" t="s">
        <v>351</v>
      </c>
      <c r="E58" s="6" t="str">
        <f t="shared" si="0"/>
        <v>190806.49</v>
      </c>
      <c r="F58" s="3">
        <f t="shared" si="1"/>
        <v>190806.49</v>
      </c>
      <c r="G58">
        <f t="shared" si="2"/>
        <v>1.4349904897298587</v>
      </c>
    </row>
    <row r="59" spans="1:7" x14ac:dyDescent="0.45">
      <c r="A59" t="s">
        <v>354</v>
      </c>
      <c r="B59" s="5" t="s">
        <v>355</v>
      </c>
      <c r="C59" s="3" t="s">
        <v>356</v>
      </c>
      <c r="D59" s="3" t="s">
        <v>88</v>
      </c>
      <c r="E59" s="6" t="str">
        <f t="shared" si="0"/>
        <v>193478.37</v>
      </c>
      <c r="F59" s="3">
        <f t="shared" si="1"/>
        <v>193478.37</v>
      </c>
      <c r="G59">
        <f t="shared" si="2"/>
        <v>1.4003087630824322</v>
      </c>
    </row>
    <row r="60" spans="1:7" x14ac:dyDescent="0.45">
      <c r="A60" t="s">
        <v>361</v>
      </c>
      <c r="B60" s="5" t="s">
        <v>362</v>
      </c>
      <c r="C60" s="3" t="s">
        <v>195</v>
      </c>
      <c r="D60" s="3" t="s">
        <v>367</v>
      </c>
      <c r="E60" s="6" t="str">
        <f t="shared" si="0"/>
        <v>194158.50</v>
      </c>
      <c r="F60" s="3">
        <f t="shared" si="1"/>
        <v>194158.5</v>
      </c>
      <c r="G60">
        <f t="shared" si="2"/>
        <v>0.35152766689113862</v>
      </c>
    </row>
    <row r="61" spans="1:7" x14ac:dyDescent="0.45">
      <c r="A61" t="s">
        <v>370</v>
      </c>
      <c r="B61" s="5" t="s">
        <v>371</v>
      </c>
      <c r="C61" s="3" t="s">
        <v>372</v>
      </c>
      <c r="D61" s="3" t="s">
        <v>376</v>
      </c>
      <c r="E61" s="6" t="str">
        <f t="shared" si="0"/>
        <v>196017.66</v>
      </c>
      <c r="F61" s="3">
        <f t="shared" si="1"/>
        <v>196017.66</v>
      </c>
      <c r="G61">
        <f t="shared" si="2"/>
        <v>0.95754757067035623</v>
      </c>
    </row>
    <row r="62" spans="1:7" x14ac:dyDescent="0.45">
      <c r="A62" t="s">
        <v>378</v>
      </c>
      <c r="B62" s="5" t="s">
        <v>379</v>
      </c>
      <c r="C62" s="3" t="s">
        <v>380</v>
      </c>
      <c r="D62" s="3" t="s">
        <v>384</v>
      </c>
      <c r="E62" s="6" t="str">
        <f t="shared" si="0"/>
        <v>197934.47</v>
      </c>
      <c r="F62" s="3">
        <f t="shared" si="1"/>
        <v>197934.47</v>
      </c>
      <c r="G62">
        <f t="shared" si="2"/>
        <v>0.97787617707506447</v>
      </c>
    </row>
    <row r="63" spans="1:7" x14ac:dyDescent="0.45">
      <c r="A63" t="s">
        <v>386</v>
      </c>
      <c r="B63" s="5" t="s">
        <v>387</v>
      </c>
      <c r="C63" s="3" t="s">
        <v>388</v>
      </c>
      <c r="D63" s="3" t="s">
        <v>217</v>
      </c>
      <c r="E63" s="6" t="str">
        <f t="shared" si="0"/>
        <v>199108.33</v>
      </c>
      <c r="F63" s="3">
        <f t="shared" si="1"/>
        <v>199108.33</v>
      </c>
      <c r="G63">
        <f t="shared" si="2"/>
        <v>0.59305486305643784</v>
      </c>
    </row>
    <row r="64" spans="1:7" x14ac:dyDescent="0.45">
      <c r="A64" t="s">
        <v>393</v>
      </c>
      <c r="B64" s="5" t="s">
        <v>394</v>
      </c>
      <c r="C64" s="3" t="s">
        <v>395</v>
      </c>
      <c r="D64" s="3" t="s">
        <v>398</v>
      </c>
      <c r="E64" s="6" t="str">
        <f t="shared" si="0"/>
        <v>200908.14</v>
      </c>
      <c r="F64" s="3">
        <f t="shared" si="1"/>
        <v>200908.14</v>
      </c>
      <c r="G64">
        <f t="shared" si="2"/>
        <v>0.90393505886972525</v>
      </c>
    </row>
    <row r="65" spans="1:7" x14ac:dyDescent="0.45">
      <c r="A65" t="s">
        <v>400</v>
      </c>
      <c r="B65" s="5" t="s">
        <v>401</v>
      </c>
      <c r="C65" s="3" t="s">
        <v>395</v>
      </c>
      <c r="D65" s="3" t="s">
        <v>241</v>
      </c>
      <c r="E65" s="6" t="str">
        <f t="shared" si="0"/>
        <v>202724.88</v>
      </c>
      <c r="F65" s="3">
        <f t="shared" si="1"/>
        <v>202724.88</v>
      </c>
      <c r="G65">
        <f t="shared" si="2"/>
        <v>0.90426400841697629</v>
      </c>
    </row>
    <row r="66" spans="1:7" x14ac:dyDescent="0.45">
      <c r="A66" t="s">
        <v>406</v>
      </c>
      <c r="B66" s="5" t="s">
        <v>407</v>
      </c>
      <c r="C66" s="3" t="s">
        <v>408</v>
      </c>
      <c r="D66" s="3" t="s">
        <v>102</v>
      </c>
      <c r="E66" s="6" t="str">
        <f t="shared" si="0"/>
        <v>201950.65</v>
      </c>
      <c r="F66" s="3">
        <f t="shared" si="1"/>
        <v>201950.65</v>
      </c>
      <c r="G66">
        <f t="shared" si="2"/>
        <v>-0.38191168247331581</v>
      </c>
    </row>
    <row r="67" spans="1:7" x14ac:dyDescent="0.45">
      <c r="A67" t="s">
        <v>414</v>
      </c>
      <c r="B67" s="5" t="s">
        <v>415</v>
      </c>
      <c r="C67" s="3" t="s">
        <v>416</v>
      </c>
      <c r="D67" s="3" t="s">
        <v>32</v>
      </c>
      <c r="E67" s="6" t="str">
        <f t="shared" si="0"/>
        <v>204636.42</v>
      </c>
      <c r="F67" s="3">
        <f t="shared" si="1"/>
        <v>204636.42</v>
      </c>
      <c r="G67">
        <f t="shared" si="2"/>
        <v>1.3299140161222649</v>
      </c>
    </row>
    <row r="68" spans="1:7" x14ac:dyDescent="0.45">
      <c r="A68" t="s">
        <v>420</v>
      </c>
      <c r="B68" s="5" t="s">
        <v>421</v>
      </c>
      <c r="C68" s="3" t="s">
        <v>422</v>
      </c>
      <c r="D68" s="3" t="s">
        <v>426</v>
      </c>
      <c r="E68" s="6" t="str">
        <f t="shared" si="0"/>
        <v>204724.87</v>
      </c>
      <c r="F68" s="3">
        <f t="shared" si="1"/>
        <v>204724.87</v>
      </c>
      <c r="G68">
        <f t="shared" si="2"/>
        <v>4.3223000089613828E-2</v>
      </c>
    </row>
    <row r="69" spans="1:7" x14ac:dyDescent="0.45">
      <c r="A69" t="s">
        <v>429</v>
      </c>
      <c r="B69" s="5" t="s">
        <v>430</v>
      </c>
      <c r="C69" s="3" t="s">
        <v>431</v>
      </c>
      <c r="D69" s="3" t="s">
        <v>356</v>
      </c>
      <c r="E69" s="6" t="str">
        <f t="shared" si="0"/>
        <v>205568.25</v>
      </c>
      <c r="F69" s="3">
        <f t="shared" si="1"/>
        <v>205568.25</v>
      </c>
      <c r="G69">
        <f t="shared" si="2"/>
        <v>0.41195776556116737</v>
      </c>
    </row>
    <row r="70" spans="1:7" x14ac:dyDescent="0.45">
      <c r="A70" t="s">
        <v>437</v>
      </c>
      <c r="B70" s="5" t="s">
        <v>438</v>
      </c>
      <c r="C70" s="3" t="s">
        <v>439</v>
      </c>
      <c r="D70" s="3" t="s">
        <v>245</v>
      </c>
      <c r="E70" s="6" t="str">
        <f t="shared" si="0"/>
        <v>206559.46</v>
      </c>
      <c r="F70" s="3">
        <f t="shared" si="1"/>
        <v>206559.46</v>
      </c>
      <c r="G70">
        <f t="shared" si="2"/>
        <v>0.48218049236688637</v>
      </c>
    </row>
    <row r="71" spans="1:7" x14ac:dyDescent="0.45">
      <c r="A71" t="s">
        <v>445</v>
      </c>
      <c r="B71" s="5" t="s">
        <v>446</v>
      </c>
      <c r="C71" s="3" t="s">
        <v>447</v>
      </c>
      <c r="D71" s="3" t="s">
        <v>448</v>
      </c>
      <c r="E71" s="6" t="str">
        <f t="shared" si="0"/>
        <v>206510.47</v>
      </c>
      <c r="F71" s="3">
        <f t="shared" si="1"/>
        <v>206510.47</v>
      </c>
      <c r="G71">
        <f t="shared" si="2"/>
        <v>-2.3717141785706976E-2</v>
      </c>
    </row>
    <row r="72" spans="1:7" x14ac:dyDescent="0.45">
      <c r="A72" t="s">
        <v>451</v>
      </c>
      <c r="B72" s="5" t="s">
        <v>452</v>
      </c>
      <c r="C72" s="3" t="s">
        <v>453</v>
      </c>
      <c r="D72" s="3" t="s">
        <v>458</v>
      </c>
      <c r="E72" s="6" t="str">
        <f t="shared" si="0"/>
        <v>207855.84</v>
      </c>
      <c r="F72" s="3">
        <f t="shared" si="1"/>
        <v>207855.84</v>
      </c>
      <c r="G72">
        <f t="shared" si="2"/>
        <v>0.65147786453635759</v>
      </c>
    </row>
    <row r="73" spans="1:7" x14ac:dyDescent="0.45">
      <c r="A73" t="s">
        <v>461</v>
      </c>
      <c r="B73" s="5" t="s">
        <v>462</v>
      </c>
      <c r="C73" s="3" t="s">
        <v>463</v>
      </c>
      <c r="D73" s="3" t="s">
        <v>468</v>
      </c>
      <c r="E73" s="6" t="str">
        <f t="shared" si="0"/>
        <v>208983.17</v>
      </c>
      <c r="F73" s="3">
        <f t="shared" si="1"/>
        <v>208983.17</v>
      </c>
      <c r="G73">
        <f t="shared" si="2"/>
        <v>0.54236147514547406</v>
      </c>
    </row>
    <row r="74" spans="1:7" x14ac:dyDescent="0.45">
      <c r="A74" t="s">
        <v>471</v>
      </c>
      <c r="B74" s="5" t="s">
        <v>472</v>
      </c>
      <c r="C74" s="3" t="s">
        <v>190</v>
      </c>
      <c r="D74" s="3" t="s">
        <v>416</v>
      </c>
      <c r="E74" s="6" t="str">
        <f t="shared" si="0"/>
        <v>209306.53</v>
      </c>
      <c r="F74" s="3">
        <f t="shared" si="1"/>
        <v>209306.53</v>
      </c>
      <c r="G74">
        <f t="shared" si="2"/>
        <v>0.15473016319925956</v>
      </c>
    </row>
    <row r="75" spans="1:7" x14ac:dyDescent="0.45">
      <c r="A75" t="s">
        <v>478</v>
      </c>
      <c r="B75" s="5" t="s">
        <v>479</v>
      </c>
      <c r="C75" s="3" t="s">
        <v>480</v>
      </c>
      <c r="D75" s="3" t="s">
        <v>102</v>
      </c>
      <c r="E75" s="6" t="str">
        <f t="shared" si="0"/>
        <v>210698.33</v>
      </c>
      <c r="F75" s="3">
        <f t="shared" si="1"/>
        <v>210698.33</v>
      </c>
      <c r="G75">
        <f t="shared" si="2"/>
        <v>0.66495775358751985</v>
      </c>
    </row>
    <row r="76" spans="1:7" x14ac:dyDescent="0.45">
      <c r="A76" t="s">
        <v>483</v>
      </c>
      <c r="B76" s="5" t="s">
        <v>484</v>
      </c>
      <c r="C76" s="3" t="s">
        <v>485</v>
      </c>
      <c r="D76" s="3" t="s">
        <v>487</v>
      </c>
      <c r="E76" s="6" t="str">
        <f t="shared" si="0"/>
        <v>213014.63</v>
      </c>
      <c r="F76" s="3">
        <f t="shared" si="1"/>
        <v>213014.63</v>
      </c>
      <c r="G76">
        <f t="shared" si="2"/>
        <v>1.0993442615325986</v>
      </c>
    </row>
    <row r="77" spans="1:7" x14ac:dyDescent="0.45">
      <c r="A77" t="s">
        <v>488</v>
      </c>
      <c r="B77" s="5" t="s">
        <v>489</v>
      </c>
      <c r="C77" s="3" t="s">
        <v>380</v>
      </c>
      <c r="D77" s="3" t="s">
        <v>493</v>
      </c>
      <c r="E77" s="6" t="str">
        <f t="shared" si="0"/>
        <v>215102.80</v>
      </c>
      <c r="F77" s="3">
        <f t="shared" si="1"/>
        <v>215102.8</v>
      </c>
      <c r="G77">
        <f t="shared" si="2"/>
        <v>0.98029417040509559</v>
      </c>
    </row>
    <row r="78" spans="1:7" x14ac:dyDescent="0.45">
      <c r="A78" t="s">
        <v>494</v>
      </c>
      <c r="B78" s="5" t="s">
        <v>495</v>
      </c>
      <c r="C78" s="3" t="s">
        <v>422</v>
      </c>
      <c r="D78" s="3" t="s">
        <v>498</v>
      </c>
      <c r="E78" s="6" t="str">
        <f t="shared" si="0"/>
        <v>215192.24</v>
      </c>
      <c r="F78" s="3">
        <f t="shared" si="1"/>
        <v>215192.24</v>
      </c>
      <c r="G78">
        <f t="shared" si="2"/>
        <v>4.1580118901289216E-2</v>
      </c>
    </row>
    <row r="79" spans="1:7" x14ac:dyDescent="0.45">
      <c r="A79" t="s">
        <v>499</v>
      </c>
      <c r="B79" s="5" t="s">
        <v>500</v>
      </c>
      <c r="C79" s="3" t="s">
        <v>501</v>
      </c>
      <c r="D79" s="3" t="s">
        <v>502</v>
      </c>
      <c r="E79" s="6" t="str">
        <f t="shared" si="0"/>
        <v>217508.23</v>
      </c>
      <c r="F79" s="3">
        <f t="shared" si="1"/>
        <v>217508.23</v>
      </c>
      <c r="G79">
        <f t="shared" si="2"/>
        <v>1.0762423403371886</v>
      </c>
    </row>
    <row r="80" spans="1:7" x14ac:dyDescent="0.45">
      <c r="A80" t="s">
        <v>505</v>
      </c>
      <c r="B80" s="5" t="s">
        <v>506</v>
      </c>
      <c r="C80" s="3" t="s">
        <v>213</v>
      </c>
      <c r="D80" s="3" t="s">
        <v>179</v>
      </c>
      <c r="E80" s="6" t="str">
        <f t="shared" si="0"/>
        <v>219994.07</v>
      </c>
      <c r="F80" s="3">
        <f t="shared" si="1"/>
        <v>219994.07</v>
      </c>
      <c r="G80">
        <f t="shared" si="2"/>
        <v>1.142871697314624</v>
      </c>
    </row>
    <row r="81" spans="1:7" x14ac:dyDescent="0.45">
      <c r="A81" t="s">
        <v>510</v>
      </c>
      <c r="B81" s="5" t="s">
        <v>511</v>
      </c>
      <c r="C81" s="3" t="s">
        <v>512</v>
      </c>
      <c r="D81" s="3" t="s">
        <v>515</v>
      </c>
      <c r="E81" s="6" t="str">
        <f t="shared" si="0"/>
        <v>221933.29</v>
      </c>
      <c r="F81" s="3">
        <f t="shared" si="1"/>
        <v>221933.29</v>
      </c>
      <c r="G81">
        <f t="shared" si="2"/>
        <v>0.88148739645573215</v>
      </c>
    </row>
    <row r="82" spans="1:7" x14ac:dyDescent="0.45">
      <c r="A82" t="s">
        <v>516</v>
      </c>
      <c r="B82" s="5" t="s">
        <v>517</v>
      </c>
      <c r="C82" s="3" t="s">
        <v>518</v>
      </c>
      <c r="D82" s="3" t="s">
        <v>520</v>
      </c>
      <c r="E82" s="6" t="str">
        <f t="shared" si="0"/>
        <v>221788.41</v>
      </c>
      <c r="F82" s="3">
        <f t="shared" si="1"/>
        <v>221788.41</v>
      </c>
      <c r="G82">
        <f t="shared" si="2"/>
        <v>-6.5280877871005574E-2</v>
      </c>
    </row>
    <row r="83" spans="1:7" x14ac:dyDescent="0.45">
      <c r="A83" t="s">
        <v>521</v>
      </c>
      <c r="B83" s="5" t="s">
        <v>522</v>
      </c>
      <c r="C83" s="3" t="s">
        <v>523</v>
      </c>
      <c r="D83" s="3" t="s">
        <v>524</v>
      </c>
      <c r="E83" s="6" t="str">
        <f t="shared" si="0"/>
        <v>218473.24</v>
      </c>
      <c r="F83" s="3">
        <f t="shared" si="1"/>
        <v>218473.24</v>
      </c>
      <c r="G83">
        <f t="shared" si="2"/>
        <v>-1.4947444728964931</v>
      </c>
    </row>
    <row r="84" spans="1:7" x14ac:dyDescent="0.45">
      <c r="A84" t="s">
        <v>526</v>
      </c>
      <c r="B84" s="5" t="s">
        <v>527</v>
      </c>
      <c r="C84" s="3" t="s">
        <v>528</v>
      </c>
      <c r="D84" s="3" t="s">
        <v>533</v>
      </c>
      <c r="E84" s="6" t="str">
        <f t="shared" si="0"/>
        <v>183050.94</v>
      </c>
      <c r="F84" s="3">
        <f t="shared" si="1"/>
        <v>183050.94</v>
      </c>
      <c r="G84">
        <f t="shared" si="2"/>
        <v>-16.213564645262728</v>
      </c>
    </row>
    <row r="85" spans="1:7" x14ac:dyDescent="0.45">
      <c r="A85" t="s">
        <v>534</v>
      </c>
      <c r="B85" s="5" t="s">
        <v>535</v>
      </c>
      <c r="C85" s="3" t="s">
        <v>536</v>
      </c>
      <c r="D85" s="3" t="s">
        <v>541</v>
      </c>
      <c r="E85" s="6" t="str">
        <f t="shared" si="0"/>
        <v>201941.78</v>
      </c>
      <c r="F85" s="3">
        <f t="shared" si="1"/>
        <v>201941.78</v>
      </c>
      <c r="G85">
        <f t="shared" si="2"/>
        <v>10.319990708597288</v>
      </c>
    </row>
    <row r="86" spans="1:7" x14ac:dyDescent="0.45">
      <c r="A86" t="s">
        <v>542</v>
      </c>
      <c r="B86" s="5" t="s">
        <v>543</v>
      </c>
      <c r="C86" s="3" t="s">
        <v>544</v>
      </c>
      <c r="D86" s="3" t="s">
        <v>548</v>
      </c>
      <c r="E86" s="6" t="str">
        <f t="shared" si="0"/>
        <v>214434.04</v>
      </c>
      <c r="F86" s="3">
        <f t="shared" si="1"/>
        <v>214434.04</v>
      </c>
      <c r="G86">
        <f t="shared" si="2"/>
        <v>6.186070064352216</v>
      </c>
    </row>
    <row r="87" spans="1:7" x14ac:dyDescent="0.45">
      <c r="A87" t="s">
        <v>549</v>
      </c>
      <c r="B87" s="5" t="s">
        <v>550</v>
      </c>
      <c r="C87" s="3" t="s">
        <v>551</v>
      </c>
      <c r="D87" s="3" t="s">
        <v>347</v>
      </c>
      <c r="E87" s="6" t="str">
        <f t="shared" si="0"/>
        <v>221596.98</v>
      </c>
      <c r="F87" s="3">
        <f t="shared" si="1"/>
        <v>221596.98</v>
      </c>
      <c r="G87">
        <f t="shared" si="2"/>
        <v>3.3403931577281303</v>
      </c>
    </row>
    <row r="88" spans="1:7" x14ac:dyDescent="0.45">
      <c r="A88" t="s">
        <v>553</v>
      </c>
      <c r="B88" s="5" t="s">
        <v>554</v>
      </c>
      <c r="C88" s="3" t="s">
        <v>555</v>
      </c>
      <c r="D88" s="3" t="s">
        <v>560</v>
      </c>
      <c r="E88" s="6" t="str">
        <f t="shared" ref="E88:E103" si="3">SUBSTITUTE(SUBSTITUTE(B88, ".", ""), ",",".")</f>
        <v>217280.07</v>
      </c>
      <c r="F88" s="3">
        <f t="shared" ref="F88:F103" si="4">VALUE(E88)</f>
        <v>217280.07</v>
      </c>
      <c r="G88">
        <f t="shared" si="2"/>
        <v>-1.9480906283109107</v>
      </c>
    </row>
    <row r="89" spans="1:7" x14ac:dyDescent="0.45">
      <c r="A89" t="s">
        <v>561</v>
      </c>
      <c r="B89" s="5" t="s">
        <v>562</v>
      </c>
      <c r="C89" s="3" t="s">
        <v>563</v>
      </c>
      <c r="D89" s="3" t="s">
        <v>568</v>
      </c>
      <c r="E89" s="6" t="str">
        <f t="shared" si="3"/>
        <v>229095.20</v>
      </c>
      <c r="F89" s="3">
        <f t="shared" si="4"/>
        <v>229095.2</v>
      </c>
      <c r="G89">
        <f t="shared" ref="G89:G103" si="5">(F89-F88)/F88*100</f>
        <v>5.4377421730396183</v>
      </c>
    </row>
    <row r="90" spans="1:7" x14ac:dyDescent="0.45">
      <c r="A90" t="s">
        <v>569</v>
      </c>
      <c r="B90" s="5" t="s">
        <v>570</v>
      </c>
      <c r="C90" s="3" t="s">
        <v>368</v>
      </c>
      <c r="D90" s="3" t="s">
        <v>574</v>
      </c>
      <c r="E90" s="6" t="str">
        <f t="shared" si="3"/>
        <v>238270.75</v>
      </c>
      <c r="F90" s="3">
        <f t="shared" si="4"/>
        <v>238270.75</v>
      </c>
      <c r="G90">
        <f t="shared" si="5"/>
        <v>4.0051253801912861</v>
      </c>
    </row>
    <row r="91" spans="1:7" x14ac:dyDescent="0.45">
      <c r="A91" t="s">
        <v>575</v>
      </c>
      <c r="B91" s="5" t="s">
        <v>576</v>
      </c>
      <c r="C91" s="3" t="s">
        <v>154</v>
      </c>
      <c r="D91" s="3" t="s">
        <v>577</v>
      </c>
      <c r="E91" s="6" t="str">
        <f t="shared" si="3"/>
        <v>239388.73</v>
      </c>
      <c r="F91" s="3">
        <f t="shared" si="4"/>
        <v>239388.73</v>
      </c>
      <c r="G91">
        <f t="shared" si="5"/>
        <v>0.46920572499982083</v>
      </c>
    </row>
    <row r="92" spans="1:7" x14ac:dyDescent="0.45">
      <c r="A92" t="s">
        <v>580</v>
      </c>
      <c r="B92" s="5" t="s">
        <v>581</v>
      </c>
      <c r="C92" s="3" t="s">
        <v>112</v>
      </c>
      <c r="D92" s="3" t="s">
        <v>586</v>
      </c>
      <c r="E92" s="6" t="str">
        <f t="shared" si="3"/>
        <v>243654.21</v>
      </c>
      <c r="F92" s="3">
        <f t="shared" si="4"/>
        <v>243654.21</v>
      </c>
      <c r="G92">
        <f t="shared" si="5"/>
        <v>1.7818215586005159</v>
      </c>
    </row>
    <row r="93" spans="1:7" x14ac:dyDescent="0.45">
      <c r="A93" t="s">
        <v>587</v>
      </c>
      <c r="B93" s="5" t="s">
        <v>588</v>
      </c>
      <c r="C93" s="3" t="s">
        <v>589</v>
      </c>
      <c r="D93" s="3" t="s">
        <v>594</v>
      </c>
      <c r="E93" s="6" t="str">
        <f t="shared" si="3"/>
        <v>245927.34</v>
      </c>
      <c r="F93" s="3">
        <f t="shared" si="4"/>
        <v>245927.34</v>
      </c>
      <c r="G93">
        <f t="shared" si="5"/>
        <v>0.93293278207669994</v>
      </c>
    </row>
    <row r="94" spans="1:7" x14ac:dyDescent="0.45">
      <c r="A94" t="s">
        <v>595</v>
      </c>
      <c r="B94" s="5" t="s">
        <v>596</v>
      </c>
      <c r="C94" s="3" t="s">
        <v>597</v>
      </c>
      <c r="D94" s="3" t="s">
        <v>425</v>
      </c>
      <c r="E94" s="6" t="str">
        <f t="shared" si="3"/>
        <v>243327.71</v>
      </c>
      <c r="F94" s="3">
        <f t="shared" si="4"/>
        <v>243327.71</v>
      </c>
      <c r="G94">
        <f t="shared" si="5"/>
        <v>-1.0570723856892059</v>
      </c>
    </row>
    <row r="95" spans="1:7" x14ac:dyDescent="0.45">
      <c r="A95" t="s">
        <v>601</v>
      </c>
      <c r="B95" s="5" t="s">
        <v>602</v>
      </c>
      <c r="C95" s="3" t="s">
        <v>26</v>
      </c>
      <c r="D95" s="3" t="s">
        <v>603</v>
      </c>
      <c r="E95" s="6" t="str">
        <f t="shared" si="3"/>
        <v>245249.29</v>
      </c>
      <c r="F95" s="3">
        <f t="shared" si="4"/>
        <v>245249.29</v>
      </c>
      <c r="G95">
        <f t="shared" si="5"/>
        <v>0.78970866080152413</v>
      </c>
    </row>
    <row r="96" spans="1:7" x14ac:dyDescent="0.45">
      <c r="A96" t="s">
        <v>606</v>
      </c>
      <c r="B96" s="5" t="s">
        <v>607</v>
      </c>
      <c r="C96" s="3" t="s">
        <v>608</v>
      </c>
      <c r="D96" s="3" t="s">
        <v>612</v>
      </c>
      <c r="E96" s="6" t="str">
        <f t="shared" si="3"/>
        <v>244160.49</v>
      </c>
      <c r="F96" s="3">
        <f t="shared" si="4"/>
        <v>244160.49</v>
      </c>
      <c r="G96">
        <f t="shared" si="5"/>
        <v>-0.44395643306450244</v>
      </c>
    </row>
    <row r="97" spans="1:7" x14ac:dyDescent="0.45">
      <c r="A97" t="s">
        <v>613</v>
      </c>
      <c r="B97" s="5" t="s">
        <v>614</v>
      </c>
      <c r="C97" s="3" t="s">
        <v>73</v>
      </c>
      <c r="D97" s="3" t="s">
        <v>618</v>
      </c>
      <c r="E97" s="6" t="str">
        <f t="shared" si="3"/>
        <v>244291.88</v>
      </c>
      <c r="F97" s="3">
        <f t="shared" si="4"/>
        <v>244291.88</v>
      </c>
      <c r="G97">
        <f t="shared" si="5"/>
        <v>5.3812965398297642E-2</v>
      </c>
    </row>
    <row r="98" spans="1:7" x14ac:dyDescent="0.45">
      <c r="A98" t="s">
        <v>619</v>
      </c>
      <c r="B98" s="5" t="s">
        <v>620</v>
      </c>
      <c r="C98" s="3" t="s">
        <v>621</v>
      </c>
      <c r="D98" s="3" t="s">
        <v>624</v>
      </c>
      <c r="E98" s="6" t="str">
        <f t="shared" si="3"/>
        <v>244531.51</v>
      </c>
      <c r="F98" s="3">
        <f t="shared" si="4"/>
        <v>244531.51</v>
      </c>
      <c r="G98">
        <f t="shared" si="5"/>
        <v>9.8091676235822767E-2</v>
      </c>
    </row>
    <row r="99" spans="1:7" x14ac:dyDescent="0.45">
      <c r="A99" t="s">
        <v>625</v>
      </c>
      <c r="B99" s="5" t="s">
        <v>626</v>
      </c>
      <c r="C99" s="3" t="s">
        <v>454</v>
      </c>
      <c r="D99" s="3" t="s">
        <v>589</v>
      </c>
      <c r="E99" s="6" t="str">
        <f t="shared" si="3"/>
        <v>247523.89</v>
      </c>
      <c r="F99" s="3">
        <f t="shared" si="4"/>
        <v>247523.89</v>
      </c>
      <c r="G99">
        <f t="shared" si="5"/>
        <v>1.2237195934380827</v>
      </c>
    </row>
    <row r="100" spans="1:7" x14ac:dyDescent="0.45">
      <c r="A100" t="s">
        <v>629</v>
      </c>
      <c r="B100" s="5" t="s">
        <v>630</v>
      </c>
      <c r="C100" s="3" t="s">
        <v>624</v>
      </c>
      <c r="D100" s="3" t="s">
        <v>633</v>
      </c>
      <c r="E100" s="6" t="str">
        <f t="shared" si="3"/>
        <v>248737.84</v>
      </c>
      <c r="F100" s="3">
        <f t="shared" si="4"/>
        <v>248737.84</v>
      </c>
      <c r="G100">
        <f t="shared" si="5"/>
        <v>0.4904375088804489</v>
      </c>
    </row>
    <row r="101" spans="1:7" x14ac:dyDescent="0.45">
      <c r="A101" t="s">
        <v>634</v>
      </c>
      <c r="B101" s="5" t="s">
        <v>635</v>
      </c>
      <c r="C101" s="3" t="s">
        <v>636</v>
      </c>
      <c r="D101" s="3" t="s">
        <v>432</v>
      </c>
      <c r="E101" s="6" t="str">
        <f t="shared" si="3"/>
        <v>249237.08</v>
      </c>
      <c r="F101" s="3">
        <f t="shared" si="4"/>
        <v>249237.08</v>
      </c>
      <c r="G101">
        <f t="shared" si="5"/>
        <v>0.20070930904601839</v>
      </c>
    </row>
    <row r="102" spans="1:7" x14ac:dyDescent="0.45">
      <c r="A102" t="s">
        <v>639</v>
      </c>
      <c r="E102" s="6" t="str">
        <f t="shared" si="3"/>
        <v/>
      </c>
      <c r="F102" s="3"/>
    </row>
    <row r="103" spans="1:7" x14ac:dyDescent="0.45">
      <c r="A103" t="s">
        <v>639</v>
      </c>
      <c r="E103" s="6" t="str">
        <f t="shared" si="3"/>
        <v/>
      </c>
      <c r="F103"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
  <sheetViews>
    <sheetView topLeftCell="A6" workbookViewId="0"/>
  </sheetViews>
  <sheetFormatPr defaultRowHeight="14.25" x14ac:dyDescent="0.45"/>
  <cols>
    <col min="1" max="1" width="50" customWidth="1"/>
    <col min="2" max="2" width="25" customWidth="1"/>
    <col min="3" max="4" width="20" customWidth="1"/>
    <col min="5" max="5" width="40" customWidth="1"/>
    <col min="6" max="7" width="50" customWidth="1"/>
  </cols>
  <sheetData>
    <row r="1" spans="1:7" x14ac:dyDescent="0.45">
      <c r="A1" s="1" t="s">
        <v>641</v>
      </c>
      <c r="B1" s="1" t="s">
        <v>642</v>
      </c>
      <c r="C1" s="1" t="s">
        <v>643</v>
      </c>
      <c r="D1" s="1" t="s">
        <v>644</v>
      </c>
      <c r="E1" s="1" t="s">
        <v>645</v>
      </c>
      <c r="F1" s="1" t="s">
        <v>646</v>
      </c>
      <c r="G1" s="1" t="s">
        <v>647</v>
      </c>
    </row>
    <row r="2" spans="1:7" ht="28.5" x14ac:dyDescent="0.45">
      <c r="A2" s="2" t="s">
        <v>648</v>
      </c>
      <c r="B2" s="2" t="s">
        <v>2</v>
      </c>
      <c r="C2" s="2" t="s">
        <v>649</v>
      </c>
      <c r="D2" s="2" t="s">
        <v>650</v>
      </c>
      <c r="E2" s="2" t="s">
        <v>651</v>
      </c>
      <c r="F2" s="2" t="s">
        <v>5</v>
      </c>
      <c r="G2" s="2" t="s">
        <v>639</v>
      </c>
    </row>
    <row r="3" spans="1:7" ht="28.5" x14ac:dyDescent="0.45">
      <c r="A3" s="2" t="s">
        <v>648</v>
      </c>
      <c r="B3" s="2" t="s">
        <v>2</v>
      </c>
      <c r="C3" s="2" t="s">
        <v>649</v>
      </c>
      <c r="D3" s="2" t="s">
        <v>652</v>
      </c>
      <c r="E3" s="2" t="s">
        <v>651</v>
      </c>
      <c r="F3" s="2" t="s">
        <v>5</v>
      </c>
      <c r="G3" s="2" t="s">
        <v>639</v>
      </c>
    </row>
    <row r="4" spans="1:7" ht="28.5" x14ac:dyDescent="0.45">
      <c r="A4" s="2" t="s">
        <v>648</v>
      </c>
      <c r="B4" s="2" t="s">
        <v>2</v>
      </c>
      <c r="C4" s="2" t="s">
        <v>649</v>
      </c>
      <c r="D4" s="2" t="s">
        <v>653</v>
      </c>
      <c r="E4" s="2" t="s">
        <v>651</v>
      </c>
      <c r="F4" s="2" t="s">
        <v>5</v>
      </c>
      <c r="G4" s="2" t="s">
        <v>639</v>
      </c>
    </row>
    <row r="5" spans="1:7" ht="28.5" x14ac:dyDescent="0.45">
      <c r="A5" s="2" t="s">
        <v>654</v>
      </c>
      <c r="B5" s="2" t="s">
        <v>2</v>
      </c>
      <c r="C5" s="2" t="s">
        <v>649</v>
      </c>
      <c r="D5" s="2" t="s">
        <v>650</v>
      </c>
      <c r="E5" s="2" t="s">
        <v>651</v>
      </c>
      <c r="F5" s="2" t="s">
        <v>5</v>
      </c>
      <c r="G5" s="2" t="s">
        <v>639</v>
      </c>
    </row>
    <row r="6" spans="1:7" ht="28.5" x14ac:dyDescent="0.45">
      <c r="A6" s="2" t="s">
        <v>654</v>
      </c>
      <c r="B6" s="2" t="s">
        <v>2</v>
      </c>
      <c r="C6" s="2" t="s">
        <v>649</v>
      </c>
      <c r="D6" s="2" t="s">
        <v>655</v>
      </c>
      <c r="E6" s="2" t="s">
        <v>651</v>
      </c>
      <c r="F6" s="2" t="s">
        <v>5</v>
      </c>
      <c r="G6" s="2" t="s">
        <v>639</v>
      </c>
    </row>
    <row r="7" spans="1:7" ht="28.5" x14ac:dyDescent="0.45">
      <c r="A7" s="2" t="s">
        <v>654</v>
      </c>
      <c r="B7" s="2" t="s">
        <v>2</v>
      </c>
      <c r="C7" s="2" t="s">
        <v>649</v>
      </c>
      <c r="D7" s="2" t="s">
        <v>653</v>
      </c>
      <c r="E7" s="2" t="s">
        <v>651</v>
      </c>
      <c r="F7" s="2" t="s">
        <v>5</v>
      </c>
      <c r="G7" s="2" t="s">
        <v>639</v>
      </c>
    </row>
    <row r="8" spans="1:7" ht="199.5" x14ac:dyDescent="0.45">
      <c r="A8" s="2" t="s">
        <v>656</v>
      </c>
      <c r="B8" s="2" t="s">
        <v>3</v>
      </c>
      <c r="C8" s="2" t="s">
        <v>649</v>
      </c>
      <c r="D8" s="2" t="s">
        <v>650</v>
      </c>
      <c r="E8" s="2" t="s">
        <v>651</v>
      </c>
      <c r="F8" s="2" t="s">
        <v>657</v>
      </c>
      <c r="G8" s="2" t="s">
        <v>639</v>
      </c>
    </row>
    <row r="9" spans="1:7" ht="28.5" x14ac:dyDescent="0.45">
      <c r="A9" s="2" t="s">
        <v>658</v>
      </c>
      <c r="B9" s="2" t="s">
        <v>3</v>
      </c>
      <c r="C9" s="2" t="s">
        <v>649</v>
      </c>
      <c r="D9" s="2" t="s">
        <v>650</v>
      </c>
      <c r="E9" s="2" t="s">
        <v>651</v>
      </c>
      <c r="F9" s="2" t="s">
        <v>5</v>
      </c>
      <c r="G9" s="2" t="s">
        <v>639</v>
      </c>
    </row>
    <row r="10" spans="1:7" ht="28.5" x14ac:dyDescent="0.45">
      <c r="A10" s="2" t="s">
        <v>659</v>
      </c>
      <c r="B10" s="2" t="s">
        <v>3</v>
      </c>
      <c r="C10" s="2" t="s">
        <v>660</v>
      </c>
      <c r="D10" s="2" t="s">
        <v>650</v>
      </c>
      <c r="E10" s="2" t="s">
        <v>651</v>
      </c>
      <c r="F10" s="2" t="s">
        <v>5</v>
      </c>
      <c r="G10" s="2" t="s">
        <v>639</v>
      </c>
    </row>
    <row r="11" spans="1:7" ht="28.5" x14ac:dyDescent="0.45">
      <c r="A11" s="2" t="s">
        <v>661</v>
      </c>
      <c r="B11" s="2" t="s">
        <v>2</v>
      </c>
      <c r="C11" s="2" t="s">
        <v>660</v>
      </c>
      <c r="D11" s="2" t="s">
        <v>650</v>
      </c>
      <c r="E11" s="2" t="s">
        <v>651</v>
      </c>
      <c r="F11" s="2" t="s">
        <v>5</v>
      </c>
      <c r="G11" s="2" t="s">
        <v>639</v>
      </c>
    </row>
    <row r="12" spans="1:7" ht="28.5" x14ac:dyDescent="0.45">
      <c r="A12" s="2" t="s">
        <v>661</v>
      </c>
      <c r="B12" s="2" t="s">
        <v>2</v>
      </c>
      <c r="C12" s="2" t="s">
        <v>660</v>
      </c>
      <c r="D12" s="2" t="s">
        <v>655</v>
      </c>
      <c r="E12" s="2" t="s">
        <v>651</v>
      </c>
      <c r="F12" s="2" t="s">
        <v>5</v>
      </c>
      <c r="G12" s="2" t="s">
        <v>639</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Datos</vt:lpstr>
      <vt:lpstr>Sheet1</vt:lpstr>
      <vt:lpstr>Información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2025-03-24T12:48:56Z</dcterms:created>
  <dcterms:modified xsi:type="dcterms:W3CDTF">2025-04-10T14:23:25Z</dcterms:modified>
  <cp:category/>
</cp:coreProperties>
</file>